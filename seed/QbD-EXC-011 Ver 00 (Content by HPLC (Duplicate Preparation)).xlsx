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172.16.0.21\QC-Documentation\Validated Excel Template\Design Template\Batch Analysis\"/>
    </mc:Choice>
  </mc:AlternateContent>
  <xr:revisionPtr revIDLastSave="0" documentId="13_ncr:1_{B96528E6-A700-4CDA-AE41-7CCF91C871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etnt" sheetId="8" r:id="rId1"/>
  </sheets>
  <definedNames>
    <definedName name="_xlnm.Print_Area" localSheetId="0">Conetnt!$A$2:$Z$100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8" l="1"/>
  <c r="E31" i="8"/>
  <c r="D32" i="8"/>
  <c r="D31" i="8"/>
  <c r="C32" i="8"/>
  <c r="C31" i="8"/>
  <c r="I38" i="8" s="1"/>
  <c r="B32" i="8"/>
  <c r="B31" i="8"/>
  <c r="F18" i="8"/>
  <c r="F19" i="8" s="1"/>
  <c r="F20" i="8" s="1"/>
  <c r="F21" i="8" s="1"/>
  <c r="C33" i="8" l="1"/>
  <c r="E33" i="8"/>
  <c r="B33" i="8"/>
  <c r="D33" i="8"/>
  <c r="I37" i="8"/>
  <c r="J37" i="8" s="1"/>
</calcChain>
</file>

<file path=xl/sharedStrings.xml><?xml version="1.0" encoding="utf-8"?>
<sst xmlns="http://schemas.openxmlformats.org/spreadsheetml/2006/main" count="58" uniqueCount="48">
  <si>
    <t>QbD Research and Development Lab. Pvt. Ltd.</t>
  </si>
  <si>
    <t>Product Name</t>
  </si>
  <si>
    <t>Analysis Date</t>
  </si>
  <si>
    <t>AR No.</t>
  </si>
  <si>
    <t>LNB No.</t>
  </si>
  <si>
    <t xml:space="preserve">B. No. </t>
  </si>
  <si>
    <t>Page No.</t>
  </si>
  <si>
    <t>Instrument ID</t>
  </si>
  <si>
    <t>Checked By :</t>
  </si>
  <si>
    <t>Date</t>
  </si>
  <si>
    <t>Test</t>
  </si>
  <si>
    <t>Analyte Name</t>
  </si>
  <si>
    <t>Standard Name:</t>
  </si>
  <si>
    <t>B. No.</t>
  </si>
  <si>
    <t>Potency (%)</t>
  </si>
  <si>
    <t>Preaparation of Standard solution</t>
  </si>
  <si>
    <t>Stock Solution</t>
  </si>
  <si>
    <t xml:space="preserve">mg of standard </t>
  </si>
  <si>
    <t>Stock Dilution-I</t>
  </si>
  <si>
    <t>mL with Diluent</t>
  </si>
  <si>
    <t xml:space="preserve">Stock Dilution-II </t>
  </si>
  <si>
    <t>Standard Solution</t>
  </si>
  <si>
    <t>Injection No.</t>
  </si>
  <si>
    <t>Braketing Standard Solution</t>
  </si>
  <si>
    <t>Retention Time</t>
  </si>
  <si>
    <t xml:space="preserve">Peak Area </t>
  </si>
  <si>
    <t>Average</t>
  </si>
  <si>
    <t>SD</t>
  </si>
  <si>
    <t>%RSD</t>
  </si>
  <si>
    <t>Sample details</t>
  </si>
  <si>
    <t>Sr.No.</t>
  </si>
  <si>
    <t>Weight of Sample(mg)</t>
  </si>
  <si>
    <t>Diluent (ml)</t>
  </si>
  <si>
    <t>Peak Area</t>
  </si>
  <si>
    <t>Done By:</t>
  </si>
  <si>
    <t>Date:</t>
  </si>
  <si>
    <t>Checked By:</t>
  </si>
  <si>
    <t>CONTENT BY HPLC</t>
  </si>
  <si>
    <t>Actual concentration (%)</t>
  </si>
  <si>
    <t>Content (%)</t>
  </si>
  <si>
    <t>Further mL taken</t>
  </si>
  <si>
    <t>Diluted to</t>
  </si>
  <si>
    <t>AR. No.</t>
  </si>
  <si>
    <t>Sample No.</t>
  </si>
  <si>
    <t>Sample-1</t>
  </si>
  <si>
    <t>Sample-2</t>
  </si>
  <si>
    <t>Average Content (%)</t>
  </si>
  <si>
    <t>Excel Sheet Number:QbD/EXC/011  Ver.00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</si>
</sst>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20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0"/>
      <name val="Times New Roman"/>
      <family val="1"/>
    </font>
    <font>
      <sz val="14"/>
      <color theme="1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36"/>
      <name val="Times New Roman"/>
      <family val="1"/>
    </font>
    <font>
      <sz val="11"/>
      <color indexed="8"/>
      <name val="Calibri1"/>
      <family val="2"/>
    </font>
    <font>
      <b/>
      <sz val="16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color indexed="8"/>
      <name val="Times New Roman"/>
      <family val="1"/>
    </font>
    <font>
      <sz val="16"/>
      <color indexed="8"/>
      <name val="Times New Roman"/>
      <family val="1"/>
    </font>
    <font>
      <sz val="16"/>
      <name val="Times New Roman"/>
      <family val="1"/>
    </font>
    <font>
      <sz val="16"/>
      <color indexed="8"/>
      <name val="Calibri"/>
      <family val="2"/>
    </font>
    <font>
      <sz val="16"/>
      <color rgb="FF000000"/>
      <name val="Times New Roman"/>
      <family val="1"/>
    </font>
    <font>
      <sz val="8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26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59"/>
      </top>
      <bottom style="thin">
        <color indexed="59"/>
      </bottom>
      <diagonal/>
    </border>
    <border>
      <left style="medium">
        <color indexed="64"/>
      </left>
      <right/>
      <top style="thin">
        <color indexed="63"/>
      </top>
      <bottom/>
      <diagonal/>
    </border>
    <border>
      <left style="thin">
        <color indexed="64"/>
      </left>
      <right/>
      <top style="thin">
        <color indexed="59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4" fillId="0" borderId="0"/>
    <xf numFmtId="0" fontId="4" fillId="0" borderId="0"/>
    <xf numFmtId="0" fontId="7" fillId="0" borderId="0" applyBorder="0" applyProtection="0"/>
    <xf numFmtId="0" fontId="4" fillId="0" borderId="0"/>
    <xf numFmtId="0" fontId="4" fillId="0" borderId="0" applyNumberFormat="0" applyBorder="0" applyProtection="0"/>
  </cellStyleXfs>
  <cellXfs count="133">
    <xf numFmtId="0" fontId="0" fillId="0" borderId="0" xfId="0"/>
    <xf numFmtId="0" fontId="8" fillId="2" borderId="10" xfId="1" applyFont="1" applyFill="1" applyBorder="1" applyAlignment="1" applyProtection="1">
      <alignment vertical="center" wrapText="1"/>
      <protection locked="0"/>
    </xf>
    <xf numFmtId="0" fontId="10" fillId="0" borderId="0" xfId="0" applyFont="1"/>
    <xf numFmtId="0" fontId="8" fillId="2" borderId="10" xfId="1" applyFont="1" applyFill="1" applyBorder="1" applyAlignment="1" applyProtection="1">
      <alignment vertical="center"/>
      <protection locked="0"/>
    </xf>
    <xf numFmtId="0" fontId="13" fillId="3" borderId="10" xfId="2" applyFont="1" applyFill="1" applyBorder="1" applyAlignment="1" applyProtection="1">
      <alignment horizontal="left" vertical="center"/>
      <protection locked="0"/>
    </xf>
    <xf numFmtId="0" fontId="13" fillId="0" borderId="10" xfId="3" applyFont="1" applyBorder="1" applyAlignment="1" applyProtection="1">
      <alignment horizontal="left" vertical="center" wrapText="1"/>
      <protection locked="0"/>
    </xf>
    <xf numFmtId="2" fontId="14" fillId="0" borderId="10" xfId="3" applyNumberFormat="1" applyFont="1" applyBorder="1" applyAlignment="1" applyProtection="1">
      <alignment horizontal="left" vertical="center"/>
      <protection locked="0"/>
    </xf>
    <xf numFmtId="2" fontId="16" fillId="0" borderId="10" xfId="1" applyNumberFormat="1" applyFont="1" applyBorder="1" applyAlignment="1" applyProtection="1">
      <alignment horizontal="center" vertical="center"/>
      <protection locked="0"/>
    </xf>
    <xf numFmtId="1" fontId="16" fillId="0" borderId="10" xfId="1" applyNumberFormat="1" applyFont="1" applyBorder="1" applyAlignment="1" applyProtection="1">
      <alignment horizontal="center" vertical="center"/>
      <protection locked="0"/>
    </xf>
    <xf numFmtId="2" fontId="13" fillId="3" borderId="10" xfId="2" applyNumberFormat="1" applyFont="1" applyFill="1" applyBorder="1" applyAlignment="1" applyProtection="1">
      <alignment horizontal="center" vertical="center"/>
      <protection locked="0"/>
    </xf>
    <xf numFmtId="0" fontId="13" fillId="3" borderId="10" xfId="2" applyFont="1" applyFill="1" applyBorder="1" applyAlignment="1" applyProtection="1">
      <alignment horizontal="center" vertical="center"/>
      <protection locked="0"/>
    </xf>
    <xf numFmtId="165" fontId="13" fillId="0" borderId="10" xfId="5" applyNumberFormat="1" applyFont="1" applyBorder="1" applyAlignment="1" applyProtection="1">
      <alignment horizontal="center" vertical="center" wrapText="1"/>
      <protection locked="0"/>
    </xf>
    <xf numFmtId="0" fontId="13" fillId="4" borderId="10" xfId="2" applyFont="1" applyFill="1" applyBorder="1" applyProtection="1">
      <protection locked="0"/>
    </xf>
    <xf numFmtId="165" fontId="13" fillId="2" borderId="17" xfId="1" applyNumberFormat="1" applyFont="1" applyFill="1" applyBorder="1" applyAlignment="1" applyProtection="1">
      <alignment horizontal="center" vertical="center" wrapText="1"/>
      <protection locked="0"/>
    </xf>
    <xf numFmtId="164" fontId="13" fillId="4" borderId="24" xfId="1" applyNumberFormat="1" applyFont="1" applyFill="1" applyBorder="1" applyAlignment="1" applyProtection="1">
      <alignment horizontal="center" vertical="center" wrapText="1"/>
      <protection locked="0"/>
    </xf>
    <xf numFmtId="2" fontId="13" fillId="4" borderId="20" xfId="1" applyNumberFormat="1" applyFont="1" applyFill="1" applyBorder="1" applyAlignment="1" applyProtection="1">
      <alignment horizontal="center" vertical="center" wrapText="1"/>
      <protection locked="0"/>
    </xf>
    <xf numFmtId="164" fontId="13" fillId="4" borderId="10" xfId="1" applyNumberFormat="1" applyFont="1" applyFill="1" applyBorder="1" applyAlignment="1" applyProtection="1">
      <alignment horizontal="center" vertical="center" wrapText="1"/>
      <protection locked="0"/>
    </xf>
    <xf numFmtId="2" fontId="13" fillId="4" borderId="22" xfId="1" applyNumberFormat="1" applyFont="1" applyFill="1" applyBorder="1" applyAlignment="1" applyProtection="1">
      <alignment horizontal="center" vertical="center" wrapText="1"/>
      <protection locked="0"/>
    </xf>
    <xf numFmtId="164" fontId="13" fillId="4" borderId="8" xfId="1" applyNumberFormat="1" applyFont="1" applyFill="1" applyBorder="1" applyAlignment="1" applyProtection="1">
      <alignment horizontal="center" vertical="center" wrapText="1"/>
      <protection locked="0"/>
    </xf>
    <xf numFmtId="2" fontId="13" fillId="4" borderId="10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0" xfId="0" applyFont="1" applyFill="1" applyProtection="1"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2" borderId="10" xfId="0" applyFont="1" applyFill="1" applyBorder="1" applyAlignment="1" applyProtection="1">
      <alignment horizontal="center" vertical="center"/>
      <protection locked="0"/>
    </xf>
    <xf numFmtId="165" fontId="12" fillId="6" borderId="24" xfId="5" applyNumberFormat="1" applyFont="1" applyFill="1" applyBorder="1" applyAlignment="1" applyProtection="1">
      <alignment horizontal="center" vertical="center" wrapText="1"/>
    </xf>
    <xf numFmtId="165" fontId="13" fillId="5" borderId="10" xfId="5" applyNumberFormat="1" applyFont="1" applyFill="1" applyBorder="1" applyAlignment="1" applyProtection="1">
      <alignment horizontal="center" vertical="center" wrapText="1"/>
    </xf>
    <xf numFmtId="0" fontId="1" fillId="5" borderId="1" xfId="0" applyFont="1" applyFill="1" applyBorder="1"/>
    <xf numFmtId="0" fontId="3" fillId="2" borderId="12" xfId="0" applyFont="1" applyFill="1" applyBorder="1"/>
    <xf numFmtId="0" fontId="3" fillId="2" borderId="0" xfId="0" applyFont="1" applyFill="1"/>
    <xf numFmtId="0" fontId="3" fillId="2" borderId="11" xfId="0" applyFont="1" applyFill="1" applyBorder="1"/>
    <xf numFmtId="0" fontId="8" fillId="5" borderId="7" xfId="0" applyFont="1" applyFill="1" applyBorder="1" applyAlignment="1">
      <alignment horizontal="left" vertical="center"/>
    </xf>
    <xf numFmtId="0" fontId="9" fillId="2" borderId="0" xfId="0" applyFont="1" applyFill="1"/>
    <xf numFmtId="0" fontId="18" fillId="2" borderId="0" xfId="0" applyFont="1" applyFill="1"/>
    <xf numFmtId="0" fontId="8" fillId="5" borderId="10" xfId="0" applyFont="1" applyFill="1" applyBorder="1" applyAlignment="1">
      <alignment horizontal="left" vertical="center"/>
    </xf>
    <xf numFmtId="0" fontId="9" fillId="2" borderId="11" xfId="0" applyFont="1" applyFill="1" applyBorder="1"/>
    <xf numFmtId="0" fontId="11" fillId="2" borderId="0" xfId="0" applyFont="1" applyFill="1"/>
    <xf numFmtId="0" fontId="8" fillId="2" borderId="0" xfId="0" applyFont="1" applyFill="1" applyAlignment="1">
      <alignment horizontal="left" vertical="center"/>
    </xf>
    <xf numFmtId="0" fontId="9" fillId="2" borderId="12" xfId="0" applyFont="1" applyFill="1" applyBorder="1"/>
    <xf numFmtId="0" fontId="12" fillId="6" borderId="7" xfId="2" applyFont="1" applyFill="1" applyBorder="1" applyAlignment="1">
      <alignment vertical="center"/>
    </xf>
    <xf numFmtId="0" fontId="14" fillId="3" borderId="12" xfId="2" applyFont="1" applyFill="1" applyBorder="1" applyAlignment="1">
      <alignment horizontal="left" vertical="center"/>
    </xf>
    <xf numFmtId="0" fontId="14" fillId="0" borderId="0" xfId="2" applyFont="1" applyAlignment="1">
      <alignment vertical="center"/>
    </xf>
    <xf numFmtId="0" fontId="13" fillId="3" borderId="0" xfId="4" applyFont="1" applyFill="1" applyAlignment="1">
      <alignment horizontal="left" vertical="center" wrapText="1"/>
    </xf>
    <xf numFmtId="0" fontId="15" fillId="0" borderId="0" xfId="1" applyFont="1"/>
    <xf numFmtId="0" fontId="13" fillId="3" borderId="0" xfId="2" applyFont="1" applyFill="1"/>
    <xf numFmtId="0" fontId="12" fillId="6" borderId="10" xfId="2" applyFont="1" applyFill="1" applyBorder="1" applyAlignment="1">
      <alignment horizontal="center" vertical="center" wrapText="1"/>
    </xf>
    <xf numFmtId="0" fontId="12" fillId="5" borderId="15" xfId="4" applyFont="1" applyFill="1" applyBorder="1" applyAlignment="1">
      <alignment horizontal="left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21" xfId="1" applyFont="1" applyFill="1" applyBorder="1" applyAlignment="1">
      <alignment horizontal="center" vertical="center" wrapText="1"/>
    </xf>
    <xf numFmtId="166" fontId="13" fillId="6" borderId="32" xfId="2" applyNumberFormat="1" applyFont="1" applyFill="1" applyBorder="1" applyAlignment="1">
      <alignment horizontal="center" vertical="center"/>
    </xf>
    <xf numFmtId="0" fontId="12" fillId="5" borderId="19" xfId="4" applyFont="1" applyFill="1" applyBorder="1" applyAlignment="1">
      <alignment horizontal="left" vertical="center" wrapText="1"/>
    </xf>
    <xf numFmtId="0" fontId="12" fillId="5" borderId="23" xfId="4" applyFont="1" applyFill="1" applyBorder="1" applyAlignment="1">
      <alignment horizontal="left" vertical="center" wrapText="1"/>
    </xf>
    <xf numFmtId="0" fontId="12" fillId="6" borderId="10" xfId="1" applyFont="1" applyFill="1" applyBorder="1" applyAlignment="1">
      <alignment horizontal="center" vertical="center" wrapText="1"/>
    </xf>
    <xf numFmtId="0" fontId="13" fillId="3" borderId="25" xfId="1" applyFont="1" applyFill="1" applyBorder="1" applyAlignment="1">
      <alignment horizontal="center" vertical="center"/>
    </xf>
    <xf numFmtId="2" fontId="13" fillId="3" borderId="0" xfId="1" applyNumberFormat="1" applyFont="1" applyFill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1" fontId="13" fillId="3" borderId="0" xfId="1" applyNumberFormat="1" applyFont="1" applyFill="1" applyAlignment="1">
      <alignment horizontal="center" vertical="center" wrapText="1"/>
    </xf>
    <xf numFmtId="0" fontId="13" fillId="3" borderId="0" xfId="1" applyFont="1" applyFill="1" applyAlignment="1">
      <alignment horizontal="center" vertical="center" wrapText="1"/>
    </xf>
    <xf numFmtId="0" fontId="13" fillId="6" borderId="26" xfId="1" applyFont="1" applyFill="1" applyBorder="1" applyAlignment="1">
      <alignment horizontal="center" vertical="center"/>
    </xf>
    <xf numFmtId="0" fontId="12" fillId="6" borderId="26" xfId="1" applyFont="1" applyFill="1" applyBorder="1" applyAlignment="1">
      <alignment horizontal="center" vertical="center"/>
    </xf>
    <xf numFmtId="2" fontId="12" fillId="6" borderId="27" xfId="1" applyNumberFormat="1" applyFont="1" applyFill="1" applyBorder="1" applyAlignment="1">
      <alignment horizontal="center" vertical="center"/>
    </xf>
    <xf numFmtId="2" fontId="12" fillId="6" borderId="10" xfId="1" applyNumberFormat="1" applyFont="1" applyFill="1" applyBorder="1" applyAlignment="1">
      <alignment horizontal="center" vertical="center"/>
    </xf>
    <xf numFmtId="0" fontId="12" fillId="6" borderId="28" xfId="1" applyFont="1" applyFill="1" applyBorder="1" applyAlignment="1">
      <alignment horizontal="center" vertical="center"/>
    </xf>
    <xf numFmtId="165" fontId="12" fillId="6" borderId="29" xfId="1" applyNumberFormat="1" applyFont="1" applyFill="1" applyBorder="1" applyAlignment="1">
      <alignment horizontal="center" vertical="center"/>
    </xf>
    <xf numFmtId="165" fontId="12" fillId="6" borderId="10" xfId="1" applyNumberFormat="1" applyFont="1" applyFill="1" applyBorder="1" applyAlignment="1">
      <alignment horizontal="center" vertical="center"/>
    </xf>
    <xf numFmtId="0" fontId="13" fillId="3" borderId="0" xfId="2" applyFont="1" applyFill="1" applyAlignment="1">
      <alignment vertical="center"/>
    </xf>
    <xf numFmtId="0" fontId="8" fillId="6" borderId="30" xfId="1" applyFont="1" applyFill="1" applyBorder="1" applyAlignment="1">
      <alignment horizontal="center" vertical="center"/>
    </xf>
    <xf numFmtId="164" fontId="12" fillId="6" borderId="8" xfId="1" applyNumberFormat="1" applyFont="1" applyFill="1" applyBorder="1" applyAlignment="1">
      <alignment horizontal="center" vertical="center"/>
    </xf>
    <xf numFmtId="164" fontId="12" fillId="5" borderId="10" xfId="1" applyNumberFormat="1" applyFont="1" applyFill="1" applyBorder="1" applyAlignment="1">
      <alignment horizontal="center" vertical="center"/>
    </xf>
    <xf numFmtId="164" fontId="12" fillId="6" borderId="10" xfId="1" applyNumberFormat="1" applyFont="1" applyFill="1" applyBorder="1" applyAlignment="1">
      <alignment horizontal="center" vertical="center"/>
    </xf>
    <xf numFmtId="0" fontId="15" fillId="0" borderId="12" xfId="1" applyFont="1" applyBorder="1"/>
    <xf numFmtId="0" fontId="13" fillId="0" borderId="0" xfId="1" applyFont="1" applyAlignment="1">
      <alignment horizontal="center" vertical="center"/>
    </xf>
    <xf numFmtId="0" fontId="12" fillId="5" borderId="15" xfId="4" applyFont="1" applyFill="1" applyBorder="1" applyAlignment="1">
      <alignment horizontal="center" vertical="center" wrapText="1"/>
    </xf>
    <xf numFmtId="0" fontId="12" fillId="6" borderId="35" xfId="2" applyFont="1" applyFill="1" applyBorder="1" applyAlignment="1">
      <alignment horizontal="center" vertical="center" wrapText="1"/>
    </xf>
    <xf numFmtId="0" fontId="12" fillId="6" borderId="24" xfId="2" applyFont="1" applyFill="1" applyBorder="1" applyAlignment="1">
      <alignment horizontal="center" vertical="center"/>
    </xf>
    <xf numFmtId="0" fontId="12" fillId="6" borderId="35" xfId="2" applyFont="1" applyFill="1" applyBorder="1" applyAlignment="1">
      <alignment horizontal="center" vertical="center"/>
    </xf>
    <xf numFmtId="1" fontId="12" fillId="6" borderId="24" xfId="4" applyNumberFormat="1" applyFont="1" applyFill="1" applyBorder="1" applyAlignment="1">
      <alignment horizontal="center" vertical="center" wrapText="1"/>
    </xf>
    <xf numFmtId="2" fontId="13" fillId="6" borderId="10" xfId="2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/>
    <xf numFmtId="0" fontId="1" fillId="2" borderId="0" xfId="0" applyFont="1" applyFill="1"/>
    <xf numFmtId="0" fontId="1" fillId="2" borderId="11" xfId="0" applyFont="1" applyFill="1" applyBorder="1"/>
    <xf numFmtId="0" fontId="5" fillId="2" borderId="12" xfId="0" applyFont="1" applyFill="1" applyBorder="1"/>
    <xf numFmtId="0" fontId="5" fillId="2" borderId="0" xfId="0" applyFont="1" applyFill="1"/>
    <xf numFmtId="0" fontId="14" fillId="2" borderId="1" xfId="0" applyFont="1" applyFill="1" applyBorder="1"/>
    <xf numFmtId="0" fontId="8" fillId="2" borderId="2" xfId="0" applyFont="1" applyFill="1" applyBorder="1" applyAlignment="1">
      <alignment horizontal="left" vertical="center"/>
    </xf>
    <xf numFmtId="164" fontId="14" fillId="2" borderId="2" xfId="0" applyNumberFormat="1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  <xf numFmtId="165" fontId="14" fillId="2" borderId="2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vertical="top"/>
    </xf>
    <xf numFmtId="0" fontId="14" fillId="2" borderId="2" xfId="0" applyFont="1" applyFill="1" applyBorder="1"/>
    <xf numFmtId="0" fontId="9" fillId="2" borderId="2" xfId="0" applyFont="1" applyFill="1" applyBorder="1"/>
    <xf numFmtId="0" fontId="9" fillId="2" borderId="3" xfId="0" applyFont="1" applyFill="1" applyBorder="1"/>
    <xf numFmtId="0" fontId="8" fillId="2" borderId="12" xfId="0" applyFont="1" applyFill="1" applyBorder="1"/>
    <xf numFmtId="0" fontId="8" fillId="2" borderId="0" xfId="0" applyFont="1" applyFill="1" applyAlignment="1">
      <alignment horizontal="right" vertical="center"/>
    </xf>
    <xf numFmtId="49" fontId="8" fillId="2" borderId="0" xfId="0" applyNumberFormat="1" applyFont="1" applyFill="1"/>
    <xf numFmtId="0" fontId="14" fillId="2" borderId="0" xfId="0" applyFont="1" applyFill="1"/>
    <xf numFmtId="0" fontId="8" fillId="2" borderId="0" xfId="0" applyFont="1" applyFill="1"/>
    <xf numFmtId="2" fontId="8" fillId="2" borderId="0" xfId="0" applyNumberFormat="1" applyFont="1" applyFill="1" applyAlignment="1">
      <alignment horizontal="right"/>
    </xf>
    <xf numFmtId="0" fontId="14" fillId="2" borderId="0" xfId="0" applyFont="1" applyFill="1" applyAlignment="1">
      <alignment vertical="top"/>
    </xf>
    <xf numFmtId="0" fontId="14" fillId="2" borderId="0" xfId="0" applyFont="1" applyFill="1" applyAlignment="1">
      <alignment horizontal="center" vertical="center"/>
    </xf>
    <xf numFmtId="0" fontId="14" fillId="2" borderId="16" xfId="0" applyFont="1" applyFill="1" applyBorder="1"/>
    <xf numFmtId="0" fontId="8" fillId="2" borderId="13" xfId="0" applyFont="1" applyFill="1" applyBorder="1" applyAlignment="1">
      <alignment horizontal="right"/>
    </xf>
    <xf numFmtId="0" fontId="14" fillId="2" borderId="13" xfId="0" applyFont="1" applyFill="1" applyBorder="1"/>
    <xf numFmtId="0" fontId="10" fillId="0" borderId="13" xfId="0" applyFont="1" applyBorder="1"/>
    <xf numFmtId="0" fontId="14" fillId="2" borderId="13" xfId="0" applyFont="1" applyFill="1" applyBorder="1" applyAlignment="1">
      <alignment horizontal="center" vertical="center"/>
    </xf>
    <xf numFmtId="0" fontId="8" fillId="2" borderId="13" xfId="0" applyFont="1" applyFill="1" applyBorder="1"/>
    <xf numFmtId="0" fontId="9" fillId="2" borderId="13" xfId="0" applyFont="1" applyFill="1" applyBorder="1"/>
    <xf numFmtId="0" fontId="9" fillId="2" borderId="14" xfId="0" applyFont="1" applyFill="1" applyBorder="1"/>
    <xf numFmtId="0" fontId="8" fillId="2" borderId="10" xfId="0" applyFont="1" applyFill="1" applyBorder="1" applyAlignment="1" applyProtection="1">
      <alignment horizontal="left" vertical="center"/>
      <protection locked="0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12" fillId="4" borderId="10" xfId="2" applyFont="1" applyFill="1" applyBorder="1" applyAlignment="1" applyProtection="1">
      <alignment horizontal="center" vertical="center"/>
      <protection locked="0"/>
    </xf>
    <xf numFmtId="0" fontId="13" fillId="5" borderId="7" xfId="4" applyFont="1" applyFill="1" applyBorder="1" applyAlignment="1">
      <alignment horizontal="center" vertical="center" wrapText="1"/>
    </xf>
    <xf numFmtId="165" fontId="13" fillId="5" borderId="21" xfId="5" applyNumberFormat="1" applyFont="1" applyFill="1" applyBorder="1" applyAlignment="1" applyProtection="1">
      <alignment horizontal="center" vertical="center" wrapText="1"/>
    </xf>
    <xf numFmtId="165" fontId="13" fillId="5" borderId="24" xfId="5" applyNumberFormat="1" applyFont="1" applyFill="1" applyBorder="1" applyAlignment="1" applyProtection="1">
      <alignment horizontal="center" vertical="center" wrapText="1"/>
    </xf>
    <xf numFmtId="0" fontId="12" fillId="6" borderId="7" xfId="2" applyFont="1" applyFill="1" applyBorder="1" applyAlignment="1">
      <alignment horizontal="center" vertical="center"/>
    </xf>
    <xf numFmtId="0" fontId="12" fillId="6" borderId="10" xfId="2" applyFont="1" applyFill="1" applyBorder="1" applyAlignment="1">
      <alignment horizontal="center" vertical="center"/>
    </xf>
    <xf numFmtId="0" fontId="12" fillId="5" borderId="30" xfId="1" applyFont="1" applyFill="1" applyBorder="1" applyAlignment="1">
      <alignment horizontal="center" vertical="center"/>
    </xf>
    <xf numFmtId="0" fontId="12" fillId="5" borderId="31" xfId="1" applyFont="1" applyFill="1" applyBorder="1" applyAlignment="1">
      <alignment horizontal="center" vertical="center"/>
    </xf>
    <xf numFmtId="0" fontId="12" fillId="5" borderId="9" xfId="1" applyFont="1" applyFill="1" applyBorder="1" applyAlignment="1">
      <alignment horizontal="center" vertical="center"/>
    </xf>
    <xf numFmtId="0" fontId="12" fillId="6" borderId="8" xfId="2" applyFont="1" applyFill="1" applyBorder="1" applyAlignment="1">
      <alignment horizontal="center" vertical="center"/>
    </xf>
    <xf numFmtId="0" fontId="12" fillId="6" borderId="9" xfId="2" applyFont="1" applyFill="1" applyBorder="1" applyAlignment="1">
      <alignment horizontal="center" vertical="center"/>
    </xf>
    <xf numFmtId="0" fontId="12" fillId="5" borderId="33" xfId="4" applyFont="1" applyFill="1" applyBorder="1" applyAlignment="1">
      <alignment horizontal="center" vertical="center"/>
    </xf>
    <xf numFmtId="0" fontId="12" fillId="5" borderId="34" xfId="4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</cellXfs>
  <cellStyles count="6">
    <cellStyle name="Excel Built-in Normal" xfId="4" xr:uid="{13AA7E49-73B2-4400-B3F0-7CA374DCD3A6}"/>
    <cellStyle name="Normal" xfId="0" builtinId="0"/>
    <cellStyle name="Normal 2" xfId="1" xr:uid="{7B47A4B9-C85A-4D42-B0EB-A3086BBA34FC}"/>
    <cellStyle name="Normal 3" xfId="2" xr:uid="{A04600CD-69AF-42D0-A129-06833BF276FC}"/>
    <cellStyle name="Normal 3 2" xfId="3" xr:uid="{BFE8F8F5-4594-438A-869E-81FC33665903}"/>
    <cellStyle name="Normal 3 4" xfId="5" xr:uid="{1108150C-4DBF-4DF1-977A-751959EC3D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</xdr:colOff>
      <xdr:row>1</xdr:row>
      <xdr:rowOff>28576</xdr:rowOff>
    </xdr:from>
    <xdr:to>
      <xdr:col>0</xdr:col>
      <xdr:colOff>2000250</xdr:colOff>
      <xdr:row>1</xdr:row>
      <xdr:rowOff>825500</xdr:rowOff>
    </xdr:to>
    <xdr:pic>
      <xdr:nvPicPr>
        <xdr:cNvPr id="2" name="Picture 1" descr="Qbd Logo.jpg">
          <a:extLst>
            <a:ext uri="{FF2B5EF4-FFF2-40B4-BE49-F238E27FC236}">
              <a16:creationId xmlns:a16="http://schemas.microsoft.com/office/drawing/2014/main" id="{8847E835-D72B-4C38-BCA9-27337A2C0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4" y="234951"/>
          <a:ext cx="1914526" cy="796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7040-3F52-4806-97A3-6FA1D78D01E9}">
  <sheetPr>
    <pageSetUpPr fitToPage="1"/>
  </sheetPr>
  <dimension ref="A1:Z100"/>
  <sheetViews>
    <sheetView tabSelected="1" zoomScale="40" zoomScaleNormal="40" zoomScaleSheetLayoutView="20" workbookViewId="0">
      <selection activeCell="H22" sqref="H22"/>
    </sheetView>
  </sheetViews>
  <sheetFormatPr defaultRowHeight="15"/>
  <cols>
    <col min="1" max="1" width="30.28515625" customWidth="1"/>
    <col min="2" max="2" width="62.5703125" customWidth="1"/>
    <col min="3" max="3" width="34.140625" customWidth="1"/>
    <col min="4" max="4" width="35.85546875" customWidth="1"/>
    <col min="5" max="5" width="56" customWidth="1"/>
    <col min="6" max="6" width="37.5703125" customWidth="1"/>
    <col min="7" max="7" width="39.7109375" customWidth="1"/>
    <col min="8" max="8" width="41.85546875" customWidth="1"/>
    <col min="9" max="9" width="18.7109375" customWidth="1"/>
    <col min="10" max="10" width="31.42578125" customWidth="1"/>
    <col min="11" max="11" width="19.42578125" hidden="1" customWidth="1"/>
    <col min="12" max="12" width="16.42578125" hidden="1" customWidth="1"/>
    <col min="13" max="13" width="14.140625" hidden="1" customWidth="1"/>
    <col min="14" max="14" width="18.42578125" hidden="1" customWidth="1"/>
    <col min="15" max="17" width="14.140625" hidden="1" customWidth="1"/>
    <col min="18" max="18" width="20.140625" hidden="1" customWidth="1"/>
    <col min="19" max="19" width="18.140625" hidden="1" customWidth="1"/>
    <col min="20" max="20" width="18.42578125" hidden="1" customWidth="1"/>
    <col min="21" max="22" width="16" hidden="1" customWidth="1"/>
    <col min="23" max="23" width="17.42578125" hidden="1" customWidth="1"/>
    <col min="24" max="24" width="13.140625" hidden="1" customWidth="1"/>
    <col min="25" max="25" width="17.28515625" customWidth="1"/>
    <col min="26" max="26" width="5.140625" customWidth="1"/>
  </cols>
  <sheetData>
    <row r="1" spans="1:26" ht="15.75" thickBot="1"/>
    <row r="2" spans="1:26" ht="70.5" customHeight="1" thickBot="1">
      <c r="A2" s="27"/>
      <c r="B2" s="113" t="s">
        <v>0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5"/>
    </row>
    <row r="3" spans="1:26" ht="30" customHeight="1" thickBot="1">
      <c r="A3" s="116" t="s">
        <v>37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8"/>
    </row>
    <row r="4" spans="1:26" ht="30" customHeight="1">
      <c r="A4" s="28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30"/>
    </row>
    <row r="5" spans="1:26" s="2" customFormat="1" ht="30" customHeight="1">
      <c r="A5" s="31" t="s">
        <v>1</v>
      </c>
      <c r="B5" s="1"/>
      <c r="C5" s="32"/>
      <c r="D5" s="132" t="s">
        <v>47</v>
      </c>
      <c r="E5" s="132"/>
      <c r="F5" s="33"/>
      <c r="G5" s="34" t="s">
        <v>2</v>
      </c>
      <c r="H5" s="112"/>
      <c r="I5" s="32"/>
      <c r="J5" s="32"/>
      <c r="M5" s="32"/>
      <c r="N5" s="32"/>
      <c r="O5" s="32"/>
      <c r="P5" s="32"/>
      <c r="Q5" s="32"/>
      <c r="R5" s="32"/>
      <c r="S5" s="32"/>
      <c r="T5" s="32"/>
      <c r="U5" s="32"/>
      <c r="Z5" s="35"/>
    </row>
    <row r="6" spans="1:26" s="2" customFormat="1" ht="30" customHeight="1">
      <c r="A6" s="31" t="s">
        <v>3</v>
      </c>
      <c r="B6" s="3"/>
      <c r="D6" s="32"/>
      <c r="E6" s="36"/>
      <c r="F6" s="32"/>
      <c r="G6" s="34" t="s">
        <v>4</v>
      </c>
      <c r="H6" s="112"/>
      <c r="I6" s="32"/>
      <c r="J6" s="32"/>
      <c r="M6" s="32"/>
      <c r="N6" s="32"/>
      <c r="O6" s="32"/>
      <c r="P6" s="32"/>
      <c r="Q6" s="32"/>
      <c r="R6" s="32"/>
      <c r="S6" s="32"/>
      <c r="T6" s="32"/>
      <c r="U6" s="32"/>
      <c r="Z6" s="35"/>
    </row>
    <row r="7" spans="1:26" s="2" customFormat="1" ht="30" customHeight="1">
      <c r="A7" s="31" t="s">
        <v>5</v>
      </c>
      <c r="B7" s="3"/>
      <c r="C7" s="32"/>
      <c r="D7" s="32"/>
      <c r="E7" s="36"/>
      <c r="F7" s="32"/>
      <c r="G7" s="34" t="s">
        <v>6</v>
      </c>
      <c r="H7" s="112"/>
      <c r="I7" s="32"/>
      <c r="J7" s="32"/>
      <c r="M7" s="32"/>
      <c r="N7" s="32"/>
      <c r="O7" s="32"/>
      <c r="P7" s="32"/>
      <c r="Q7" s="32"/>
      <c r="R7" s="32"/>
      <c r="S7" s="32"/>
      <c r="T7" s="32"/>
      <c r="U7" s="32"/>
      <c r="Z7" s="35"/>
    </row>
    <row r="8" spans="1:26" s="2" customFormat="1" ht="30" customHeight="1">
      <c r="A8" s="31" t="s">
        <v>11</v>
      </c>
      <c r="B8" s="3"/>
      <c r="C8" s="32"/>
      <c r="D8" s="32"/>
      <c r="E8" s="36"/>
      <c r="F8" s="32"/>
      <c r="G8" s="32"/>
      <c r="H8" s="32"/>
      <c r="I8" s="32"/>
      <c r="J8" s="32"/>
      <c r="K8" s="37"/>
      <c r="L8" s="37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5"/>
    </row>
    <row r="9" spans="1:26" s="2" customFormat="1" ht="30" customHeight="1">
      <c r="A9" s="31" t="s">
        <v>10</v>
      </c>
      <c r="B9" s="3"/>
      <c r="C9" s="32"/>
      <c r="D9" s="32"/>
      <c r="E9" s="32"/>
      <c r="F9" s="32"/>
      <c r="G9" s="32"/>
      <c r="H9" s="32"/>
      <c r="I9" s="32"/>
      <c r="J9" s="32"/>
      <c r="K9" s="36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5"/>
    </row>
    <row r="10" spans="1:26" s="2" customFormat="1" ht="30" customHeight="1">
      <c r="A10" s="31" t="s">
        <v>7</v>
      </c>
      <c r="B10" s="3"/>
      <c r="C10" s="32"/>
      <c r="D10" s="32"/>
      <c r="E10" s="32"/>
      <c r="F10" s="32"/>
      <c r="G10" s="32"/>
      <c r="H10" s="32"/>
      <c r="I10" s="32"/>
      <c r="J10" s="32"/>
      <c r="K10" s="36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5"/>
    </row>
    <row r="11" spans="1:26" s="2" customFormat="1" ht="30" customHeight="1">
      <c r="A11" s="38"/>
      <c r="B11" s="32"/>
      <c r="C11" s="32"/>
      <c r="D11" s="32"/>
      <c r="E11" s="32"/>
      <c r="F11" s="32"/>
      <c r="G11" s="32"/>
      <c r="H11" s="32"/>
      <c r="I11" s="32"/>
      <c r="J11" s="32"/>
      <c r="K11" s="36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5"/>
    </row>
    <row r="12" spans="1:26" s="2" customFormat="1" ht="30" customHeight="1">
      <c r="A12" s="3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5"/>
    </row>
    <row r="13" spans="1:26" s="2" customFormat="1" ht="30" customHeight="1">
      <c r="A13" s="39" t="s">
        <v>12</v>
      </c>
      <c r="B13" s="4"/>
      <c r="C13" s="32"/>
      <c r="D13" s="32"/>
      <c r="E13" s="32"/>
      <c r="F13" s="32"/>
      <c r="G13" s="32"/>
      <c r="H13" s="32"/>
      <c r="I13" s="32"/>
      <c r="J13" s="20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5"/>
    </row>
    <row r="14" spans="1:26" s="2" customFormat="1" ht="30" customHeight="1">
      <c r="A14" s="39" t="s">
        <v>13</v>
      </c>
      <c r="B14" s="5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5"/>
    </row>
    <row r="15" spans="1:26" s="2" customFormat="1" ht="30" customHeight="1">
      <c r="A15" s="39" t="s">
        <v>14</v>
      </c>
      <c r="B15" s="6">
        <v>100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5"/>
    </row>
    <row r="16" spans="1:26" s="2" customFormat="1" ht="30" customHeight="1">
      <c r="A16" s="40"/>
      <c r="B16" s="41"/>
      <c r="C16" s="42"/>
      <c r="D16" s="43"/>
      <c r="E16" s="32"/>
      <c r="F16" s="43"/>
      <c r="G16" s="44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5"/>
    </row>
    <row r="17" spans="1:26" s="2" customFormat="1" ht="30" customHeight="1">
      <c r="A17" s="125" t="s">
        <v>15</v>
      </c>
      <c r="B17" s="126"/>
      <c r="C17" s="126"/>
      <c r="D17" s="126"/>
      <c r="E17" s="127"/>
      <c r="F17" s="45" t="s">
        <v>38</v>
      </c>
      <c r="G17" s="44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5"/>
    </row>
    <row r="18" spans="1:26" s="2" customFormat="1" ht="30" customHeight="1">
      <c r="A18" s="46" t="s">
        <v>16</v>
      </c>
      <c r="B18" s="13">
        <v>25.19</v>
      </c>
      <c r="C18" s="47" t="s">
        <v>17</v>
      </c>
      <c r="D18" s="14">
        <v>10</v>
      </c>
      <c r="E18" s="48" t="s">
        <v>19</v>
      </c>
      <c r="F18" s="49">
        <f>(B18/D18*B15/100*100)</f>
        <v>251.9</v>
      </c>
      <c r="G18" s="44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5"/>
    </row>
    <row r="19" spans="1:26" s="2" customFormat="1" ht="30" customHeight="1">
      <c r="A19" s="50" t="s">
        <v>18</v>
      </c>
      <c r="B19" s="15">
        <v>1</v>
      </c>
      <c r="C19" s="47" t="s">
        <v>16</v>
      </c>
      <c r="D19" s="16">
        <v>10</v>
      </c>
      <c r="E19" s="48" t="s">
        <v>19</v>
      </c>
      <c r="F19" s="49">
        <f>(F18*B19/D19)</f>
        <v>25.19</v>
      </c>
      <c r="G19" s="44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5"/>
    </row>
    <row r="20" spans="1:26" s="2" customFormat="1" ht="30" customHeight="1">
      <c r="A20" s="50" t="s">
        <v>20</v>
      </c>
      <c r="B20" s="17">
        <v>1</v>
      </c>
      <c r="C20" s="47" t="s">
        <v>18</v>
      </c>
      <c r="D20" s="18">
        <v>1</v>
      </c>
      <c r="E20" s="48" t="s">
        <v>19</v>
      </c>
      <c r="F20" s="49">
        <f>(F19*B20/D20)</f>
        <v>25.19</v>
      </c>
      <c r="G20" s="44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5"/>
    </row>
    <row r="21" spans="1:26" s="2" customFormat="1" ht="30" customHeight="1">
      <c r="A21" s="51" t="s">
        <v>21</v>
      </c>
      <c r="B21" s="19">
        <v>1</v>
      </c>
      <c r="C21" s="47" t="s">
        <v>20</v>
      </c>
      <c r="D21" s="16">
        <v>1</v>
      </c>
      <c r="E21" s="52" t="s">
        <v>19</v>
      </c>
      <c r="F21" s="49">
        <f>(F20*B21/D21)</f>
        <v>25.19</v>
      </c>
      <c r="G21" s="44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5"/>
    </row>
    <row r="22" spans="1:26" s="2" customFormat="1" ht="30" customHeight="1">
      <c r="A22" s="53"/>
      <c r="B22" s="54"/>
      <c r="C22" s="55"/>
      <c r="D22" s="56"/>
      <c r="E22" s="57"/>
      <c r="F22" s="43"/>
      <c r="G22" s="44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5"/>
    </row>
    <row r="23" spans="1:26" s="2" customFormat="1" ht="30" customHeight="1">
      <c r="A23" s="130" t="s">
        <v>22</v>
      </c>
      <c r="B23" s="128" t="s">
        <v>21</v>
      </c>
      <c r="C23" s="129"/>
      <c r="D23" s="128" t="s">
        <v>23</v>
      </c>
      <c r="E23" s="129"/>
      <c r="F23" s="32"/>
      <c r="G23" s="44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5"/>
    </row>
    <row r="24" spans="1:26" s="2" customFormat="1" ht="30" customHeight="1">
      <c r="A24" s="131"/>
      <c r="B24" s="52" t="s">
        <v>24</v>
      </c>
      <c r="C24" s="52" t="s">
        <v>25</v>
      </c>
      <c r="D24" s="52" t="s">
        <v>24</v>
      </c>
      <c r="E24" s="52" t="s">
        <v>25</v>
      </c>
      <c r="F24" s="32"/>
      <c r="G24" s="44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5"/>
    </row>
    <row r="25" spans="1:26" s="2" customFormat="1" ht="30" customHeight="1">
      <c r="A25" s="58">
        <v>1</v>
      </c>
      <c r="B25" s="7">
        <v>10.867000000000001</v>
      </c>
      <c r="C25" s="8">
        <v>19914</v>
      </c>
      <c r="D25" s="7"/>
      <c r="E25" s="8"/>
      <c r="F25" s="32"/>
      <c r="G25" s="44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5"/>
    </row>
    <row r="26" spans="1:26" s="2" customFormat="1" ht="30" customHeight="1">
      <c r="A26" s="58">
        <v>2</v>
      </c>
      <c r="B26" s="7">
        <v>10.866</v>
      </c>
      <c r="C26" s="8">
        <v>19925</v>
      </c>
      <c r="D26" s="12"/>
      <c r="E26" s="12"/>
      <c r="F26" s="32"/>
      <c r="G26" s="44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5"/>
    </row>
    <row r="27" spans="1:26" s="2" customFormat="1" ht="30" customHeight="1">
      <c r="A27" s="58">
        <v>3</v>
      </c>
      <c r="B27" s="7">
        <v>10.867000000000001</v>
      </c>
      <c r="C27" s="8">
        <v>20014</v>
      </c>
      <c r="D27" s="12"/>
      <c r="E27" s="12"/>
      <c r="F27" s="32"/>
      <c r="G27" s="44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5"/>
    </row>
    <row r="28" spans="1:26" s="2" customFormat="1" ht="30" customHeight="1">
      <c r="A28" s="58">
        <v>4</v>
      </c>
      <c r="B28" s="7">
        <v>10.866</v>
      </c>
      <c r="C28" s="8">
        <v>20052</v>
      </c>
      <c r="D28" s="12"/>
      <c r="E28" s="12"/>
      <c r="F28" s="32"/>
      <c r="G28" s="44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5"/>
    </row>
    <row r="29" spans="1:26" s="2" customFormat="1" ht="30" customHeight="1">
      <c r="A29" s="58">
        <v>5</v>
      </c>
      <c r="B29" s="7">
        <v>10.865</v>
      </c>
      <c r="C29" s="8">
        <v>20039</v>
      </c>
      <c r="D29" s="12"/>
      <c r="E29" s="12"/>
      <c r="F29" s="32"/>
      <c r="G29" s="44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5"/>
    </row>
    <row r="30" spans="1:26" s="2" customFormat="1" ht="30" customHeight="1">
      <c r="A30" s="58">
        <v>6</v>
      </c>
      <c r="B30" s="7"/>
      <c r="C30" s="8"/>
      <c r="D30" s="12"/>
      <c r="E30" s="12"/>
      <c r="F30" s="32"/>
      <c r="G30" s="44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5"/>
    </row>
    <row r="31" spans="1:26" s="2" customFormat="1" ht="30" customHeight="1">
      <c r="A31" s="59" t="s">
        <v>26</v>
      </c>
      <c r="B31" s="60">
        <f>AVERAGE(B25:B30)</f>
        <v>10.866200000000001</v>
      </c>
      <c r="C31" s="60">
        <f>AVERAGE(C25:C30)</f>
        <v>19988.8</v>
      </c>
      <c r="D31" s="60">
        <f>AVERAGE(B25:B30,D25:D30)</f>
        <v>10.866200000000001</v>
      </c>
      <c r="E31" s="61">
        <f>AVERAGE(C25:C30,E25:E30)</f>
        <v>19988.8</v>
      </c>
      <c r="F31" s="43"/>
      <c r="G31" s="44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5"/>
    </row>
    <row r="32" spans="1:26" s="2" customFormat="1" ht="30" customHeight="1">
      <c r="A32" s="62" t="s">
        <v>27</v>
      </c>
      <c r="B32" s="63">
        <f>STDEV(B25:B30)</f>
        <v>8.3666002653446107E-4</v>
      </c>
      <c r="C32" s="64">
        <f>STDEV(C25:C30)</f>
        <v>64.835946819646267</v>
      </c>
      <c r="D32" s="63">
        <f>STDEV(B25:B30,D25:D30)</f>
        <v>8.3666002653446107E-4</v>
      </c>
      <c r="E32" s="64">
        <f>STDEV(C25:C30,E25:E30)</f>
        <v>64.835946819646267</v>
      </c>
      <c r="F32" s="44"/>
      <c r="G32" s="65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5"/>
    </row>
    <row r="33" spans="1:26" s="2" customFormat="1" ht="30" customHeight="1">
      <c r="A33" s="66" t="s">
        <v>28</v>
      </c>
      <c r="B33" s="67">
        <f>ROUND((B32/B31*100),2)</f>
        <v>0.01</v>
      </c>
      <c r="C33" s="68">
        <f>ROUND((C32/C31*100),2)</f>
        <v>0.32</v>
      </c>
      <c r="D33" s="67">
        <f>ROUND((D32/D31*100),2)</f>
        <v>0.01</v>
      </c>
      <c r="E33" s="69">
        <f>ROUND((E32/E31*100),2)</f>
        <v>0.32</v>
      </c>
      <c r="F33" s="43"/>
      <c r="G33" s="44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5"/>
    </row>
    <row r="34" spans="1:26" s="2" customFormat="1" ht="30" customHeight="1">
      <c r="A34" s="70"/>
      <c r="B34" s="43"/>
      <c r="C34" s="43"/>
      <c r="D34" s="43"/>
      <c r="E34" s="43"/>
      <c r="F34" s="65"/>
      <c r="G34" s="71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5"/>
    </row>
    <row r="35" spans="1:26" s="2" customFormat="1" ht="30" customHeight="1">
      <c r="A35" s="123" t="s">
        <v>29</v>
      </c>
      <c r="B35" s="124"/>
      <c r="C35" s="124"/>
      <c r="D35" s="124"/>
      <c r="E35" s="124"/>
      <c r="F35" s="124"/>
      <c r="G35" s="124"/>
      <c r="H35" s="124"/>
      <c r="I35" s="124"/>
      <c r="J35" s="124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5"/>
    </row>
    <row r="36" spans="1:26" s="2" customFormat="1" ht="30" customHeight="1">
      <c r="A36" s="72" t="s">
        <v>30</v>
      </c>
      <c r="B36" s="73" t="s">
        <v>42</v>
      </c>
      <c r="C36" s="74" t="s">
        <v>43</v>
      </c>
      <c r="D36" s="73" t="s">
        <v>31</v>
      </c>
      <c r="E36" s="75" t="s">
        <v>32</v>
      </c>
      <c r="F36" s="75" t="s">
        <v>40</v>
      </c>
      <c r="G36" s="75" t="s">
        <v>41</v>
      </c>
      <c r="H36" s="25" t="s">
        <v>33</v>
      </c>
      <c r="I36" s="76" t="s">
        <v>39</v>
      </c>
      <c r="J36" s="76" t="s">
        <v>46</v>
      </c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5"/>
    </row>
    <row r="37" spans="1:26" s="22" customFormat="1" ht="30" customHeight="1">
      <c r="A37" s="120">
        <v>1</v>
      </c>
      <c r="B37" s="119"/>
      <c r="C37" s="77" t="s">
        <v>44</v>
      </c>
      <c r="D37" s="9">
        <v>51.04</v>
      </c>
      <c r="E37" s="10">
        <v>10</v>
      </c>
      <c r="F37" s="21">
        <v>1</v>
      </c>
      <c r="G37" s="21">
        <v>10</v>
      </c>
      <c r="H37" s="11">
        <v>1874</v>
      </c>
      <c r="I37" s="26">
        <f>(H37/$C$31*$B$18/$D$18*$B$19/$D$19*$B$20/$D$20*$B$21/$D$21*E37/D37*G37/F37*$B$15/100*100)</f>
        <v>4.6270092286163012</v>
      </c>
      <c r="J37" s="121">
        <f>ROUND(AVERAGE(I37:I38),4)</f>
        <v>5.7294999999999998</v>
      </c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9"/>
    </row>
    <row r="38" spans="1:26" s="23" customFormat="1" ht="30" customHeight="1">
      <c r="A38" s="120"/>
      <c r="B38" s="119"/>
      <c r="C38" s="77" t="s">
        <v>45</v>
      </c>
      <c r="D38" s="24">
        <v>51.02</v>
      </c>
      <c r="E38" s="24">
        <v>10</v>
      </c>
      <c r="F38" s="24">
        <v>1</v>
      </c>
      <c r="G38" s="24">
        <v>10</v>
      </c>
      <c r="H38" s="24">
        <v>2766</v>
      </c>
      <c r="I38" s="26">
        <f>(H38/$C$31*$B$18/$D$18*$B$19/$D$19*$B$20/$D$20*$B$21/$D$21*E38/D38*G38/F38*$B$15/100*100)</f>
        <v>6.832083512827551</v>
      </c>
      <c r="J38" s="122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1"/>
    </row>
    <row r="39" spans="1:26" ht="50.1" hidden="1" customHeight="1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4"/>
    </row>
    <row r="40" spans="1:26" ht="50.1" hidden="1" customHeight="1">
      <c r="A40" s="82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4"/>
    </row>
    <row r="41" spans="1:26" ht="50.1" hidden="1" customHeight="1">
      <c r="A41" s="82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4"/>
    </row>
    <row r="42" spans="1:26" ht="50.1" hidden="1" customHeight="1">
      <c r="A42" s="82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4"/>
    </row>
    <row r="43" spans="1:26" ht="50.1" hidden="1" customHeight="1">
      <c r="A43" s="82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4"/>
    </row>
    <row r="44" spans="1:26" ht="50.1" hidden="1" customHeight="1">
      <c r="A44" s="82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4"/>
    </row>
    <row r="45" spans="1:26" ht="50.1" hidden="1" customHeight="1">
      <c r="A45" s="82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4"/>
    </row>
    <row r="46" spans="1:26" ht="50.1" hidden="1" customHeight="1">
      <c r="A46" s="82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4"/>
    </row>
    <row r="47" spans="1:26" ht="50.1" hidden="1" customHeight="1">
      <c r="A47" s="82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4"/>
    </row>
    <row r="48" spans="1:26" ht="50.1" hidden="1" customHeight="1">
      <c r="A48" s="82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4"/>
    </row>
    <row r="49" spans="1:26" ht="50.1" hidden="1" customHeight="1">
      <c r="A49" s="82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4"/>
    </row>
    <row r="50" spans="1:26" ht="50.1" hidden="1" customHeight="1">
      <c r="A50" s="82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4"/>
    </row>
    <row r="51" spans="1:26" ht="50.1" hidden="1" customHeight="1">
      <c r="A51" s="82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4"/>
    </row>
    <row r="52" spans="1:26" ht="50.1" hidden="1" customHeight="1">
      <c r="A52" s="82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4"/>
    </row>
    <row r="53" spans="1:26" ht="50.1" hidden="1" customHeight="1">
      <c r="A53" s="82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4"/>
    </row>
    <row r="54" spans="1:26" ht="50.1" hidden="1" customHeight="1">
      <c r="A54" s="82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4"/>
    </row>
    <row r="55" spans="1:26" ht="50.1" hidden="1" customHeight="1">
      <c r="A55" s="82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4"/>
    </row>
    <row r="56" spans="1:26" ht="50.1" hidden="1" customHeight="1">
      <c r="A56" s="82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4"/>
    </row>
    <row r="57" spans="1:26" ht="50.1" hidden="1" customHeight="1">
      <c r="A57" s="82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4"/>
    </row>
    <row r="58" spans="1:26" ht="50.1" hidden="1" customHeight="1">
      <c r="A58" s="82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4"/>
    </row>
    <row r="59" spans="1:26" ht="50.1" hidden="1" customHeight="1">
      <c r="A59" s="82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4"/>
    </row>
    <row r="60" spans="1:26" ht="50.1" hidden="1" customHeight="1">
      <c r="A60" s="82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4"/>
    </row>
    <row r="61" spans="1:26" ht="50.1" hidden="1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4"/>
    </row>
    <row r="62" spans="1:26" ht="50.1" hidden="1" customHeight="1">
      <c r="A62" s="82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4"/>
    </row>
    <row r="63" spans="1:26" ht="50.1" hidden="1" customHeight="1">
      <c r="A63" s="82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4"/>
    </row>
    <row r="64" spans="1:26" ht="50.1" hidden="1" customHeight="1">
      <c r="A64" s="82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4"/>
    </row>
    <row r="65" spans="1:26" ht="50.1" hidden="1" customHeight="1">
      <c r="A65" s="82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4"/>
    </row>
    <row r="66" spans="1:26" ht="50.1" hidden="1" customHeight="1">
      <c r="A66" s="82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4"/>
    </row>
    <row r="67" spans="1:26" ht="50.1" hidden="1" customHeight="1">
      <c r="A67" s="82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4"/>
    </row>
    <row r="68" spans="1:26" ht="50.1" hidden="1" customHeight="1">
      <c r="A68" s="82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4"/>
    </row>
    <row r="69" spans="1:26" ht="50.1" hidden="1" customHeight="1">
      <c r="A69" s="82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4"/>
    </row>
    <row r="70" spans="1:26" ht="50.1" hidden="1" customHeight="1">
      <c r="A70" s="82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4"/>
    </row>
    <row r="71" spans="1:26" ht="50.1" hidden="1" customHeight="1">
      <c r="A71" s="82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4"/>
    </row>
    <row r="72" spans="1:26" ht="50.1" hidden="1" customHeight="1">
      <c r="A72" s="82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4"/>
    </row>
    <row r="73" spans="1:26" ht="50.1" hidden="1" customHeight="1">
      <c r="A73" s="82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4"/>
    </row>
    <row r="74" spans="1:26" ht="50.1" hidden="1" customHeight="1">
      <c r="A74" s="82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4"/>
    </row>
    <row r="75" spans="1:26" ht="50.1" hidden="1" customHeight="1">
      <c r="A75" s="82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4"/>
    </row>
    <row r="76" spans="1:26" ht="50.1" hidden="1" customHeight="1">
      <c r="A76" s="82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4"/>
    </row>
    <row r="77" spans="1:26" ht="50.1" hidden="1" customHeight="1">
      <c r="A77" s="82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4"/>
    </row>
    <row r="78" spans="1:26" ht="50.1" hidden="1" customHeight="1">
      <c r="A78" s="82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4"/>
    </row>
    <row r="79" spans="1:26" ht="50.1" hidden="1" customHeight="1">
      <c r="A79" s="82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4"/>
    </row>
    <row r="80" spans="1:26" ht="50.1" hidden="1" customHeight="1">
      <c r="A80" s="82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4"/>
    </row>
    <row r="81" spans="1:26" ht="50.1" hidden="1" customHeight="1">
      <c r="A81" s="82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4"/>
    </row>
    <row r="82" spans="1:26" ht="50.1" hidden="1" customHeight="1">
      <c r="A82" s="82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4"/>
    </row>
    <row r="83" spans="1:26" ht="50.1" hidden="1" customHeight="1">
      <c r="A83" s="82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4"/>
    </row>
    <row r="84" spans="1:26" ht="50.1" hidden="1" customHeight="1">
      <c r="A84" s="82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4"/>
    </row>
    <row r="85" spans="1:26" ht="50.1" hidden="1" customHeight="1">
      <c r="A85" s="82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4"/>
    </row>
    <row r="86" spans="1:26" ht="50.1" hidden="1" customHeight="1">
      <c r="A86" s="82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4"/>
    </row>
    <row r="87" spans="1:26" ht="50.1" hidden="1" customHeight="1">
      <c r="A87" s="82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4"/>
    </row>
    <row r="88" spans="1:26" ht="50.1" hidden="1" customHeight="1">
      <c r="A88" s="82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4"/>
    </row>
    <row r="89" spans="1:26" ht="50.1" hidden="1" customHeight="1">
      <c r="A89" s="82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4"/>
    </row>
    <row r="90" spans="1:26" ht="50.1" hidden="1" customHeight="1">
      <c r="A90" s="82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4"/>
    </row>
    <row r="91" spans="1:26" ht="50.1" hidden="1" customHeight="1">
      <c r="A91" s="82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4"/>
    </row>
    <row r="92" spans="1:26" ht="50.1" hidden="1" customHeight="1">
      <c r="A92" s="82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4"/>
    </row>
    <row r="93" spans="1:26" ht="50.1" hidden="1" customHeight="1">
      <c r="A93" s="82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4"/>
    </row>
    <row r="94" spans="1:26" ht="50.1" hidden="1" customHeight="1">
      <c r="A94" s="82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4"/>
    </row>
    <row r="95" spans="1:26" ht="50.1" hidden="1" customHeight="1">
      <c r="A95" s="85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29"/>
      <c r="V95" s="29"/>
      <c r="W95" s="29"/>
      <c r="X95" s="29"/>
      <c r="Y95" s="29"/>
      <c r="Z95" s="30"/>
    </row>
    <row r="96" spans="1:26" ht="50.1" customHeight="1" thickBot="1">
      <c r="A96" s="85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29"/>
      <c r="V96" s="29"/>
      <c r="W96" s="29"/>
      <c r="X96" s="29"/>
      <c r="Y96" s="29"/>
      <c r="Z96" s="30"/>
    </row>
    <row r="97" spans="1:26" s="2" customFormat="1" ht="30" customHeight="1">
      <c r="A97" s="87"/>
      <c r="B97" s="88"/>
      <c r="C97" s="88"/>
      <c r="D97" s="88"/>
      <c r="E97" s="88"/>
      <c r="F97" s="88"/>
      <c r="G97" s="88"/>
      <c r="H97" s="88"/>
      <c r="I97" s="88"/>
      <c r="J97" s="88"/>
      <c r="K97" s="89"/>
      <c r="L97" s="90"/>
      <c r="M97" s="91"/>
      <c r="N97" s="92"/>
      <c r="O97" s="92"/>
      <c r="P97" s="93"/>
      <c r="Q97" s="93"/>
      <c r="R97" s="93"/>
      <c r="S97" s="93"/>
      <c r="T97" s="93"/>
      <c r="U97" s="94"/>
      <c r="V97" s="94"/>
      <c r="W97" s="94"/>
      <c r="X97" s="94"/>
      <c r="Y97" s="94"/>
      <c r="Z97" s="95"/>
    </row>
    <row r="98" spans="1:26" s="2" customFormat="1" ht="30" customHeight="1">
      <c r="A98" s="96" t="s">
        <v>34</v>
      </c>
      <c r="B98" s="97"/>
      <c r="C98" s="98"/>
      <c r="D98" s="99"/>
      <c r="E98" s="65"/>
      <c r="F98" s="99"/>
      <c r="G98" s="100" t="s">
        <v>36</v>
      </c>
      <c r="H98" s="99"/>
      <c r="I98" s="99"/>
      <c r="J98" s="99"/>
      <c r="K98" s="101"/>
      <c r="M98" s="99"/>
      <c r="N98" s="102"/>
      <c r="O98" s="102"/>
      <c r="P98" s="99"/>
      <c r="Q98" s="99"/>
      <c r="R98" s="100" t="s">
        <v>8</v>
      </c>
      <c r="S98" s="99"/>
      <c r="T98" s="99"/>
      <c r="U98" s="32"/>
      <c r="V98" s="32"/>
      <c r="W98" s="32"/>
      <c r="X98" s="32"/>
      <c r="Y98" s="32"/>
      <c r="Z98" s="35"/>
    </row>
    <row r="99" spans="1:26" s="2" customFormat="1" ht="30" customHeight="1">
      <c r="A99" s="96" t="s">
        <v>35</v>
      </c>
      <c r="C99" s="99"/>
      <c r="D99" s="99"/>
      <c r="F99" s="99"/>
      <c r="G99" s="100" t="s">
        <v>35</v>
      </c>
      <c r="H99" s="99"/>
      <c r="I99" s="99"/>
      <c r="J99" s="99"/>
      <c r="K99" s="101"/>
      <c r="M99" s="99"/>
      <c r="N99" s="103"/>
      <c r="O99" s="103"/>
      <c r="P99" s="99"/>
      <c r="Q99" s="99"/>
      <c r="S99" s="99"/>
      <c r="T99" s="99"/>
      <c r="U99" s="32"/>
      <c r="V99" s="32"/>
      <c r="W99" s="32"/>
      <c r="X99" s="32"/>
      <c r="Y99" s="32"/>
      <c r="Z99" s="35"/>
    </row>
    <row r="100" spans="1:26" s="2" customFormat="1" ht="30" customHeight="1" thickBot="1">
      <c r="A100" s="104"/>
      <c r="B100" s="105"/>
      <c r="C100" s="106"/>
      <c r="D100" s="106"/>
      <c r="E100" s="106"/>
      <c r="F100" s="106"/>
      <c r="G100" s="106"/>
      <c r="H100" s="106"/>
      <c r="I100" s="106"/>
      <c r="J100" s="106"/>
      <c r="K100" s="106"/>
      <c r="L100" s="107"/>
      <c r="M100" s="106"/>
      <c r="N100" s="108"/>
      <c r="O100" s="108"/>
      <c r="P100" s="106"/>
      <c r="Q100" s="106"/>
      <c r="R100" s="109" t="s">
        <v>9</v>
      </c>
      <c r="S100" s="106"/>
      <c r="T100" s="106"/>
      <c r="U100" s="110"/>
      <c r="V100" s="110"/>
      <c r="W100" s="110"/>
      <c r="X100" s="110"/>
      <c r="Y100" s="110"/>
      <c r="Z100" s="111"/>
    </row>
  </sheetData>
  <sheetProtection algorithmName="SHA-512" hashValue="UIOcLbogEYo9OfNNhhfTBzgbENln4Uz/8b6YIiGRdSVSk7WJ6vYnBe5DcmpZO+IwTWKxhpmjH03LgKkXsVyacQ==" saltValue="FaWa3mF0Xzu1oTQ9tAEi1Q==" spinCount="100000" sheet="1" objects="1" scenarios="1" formatCells="0" formatColumns="0" formatRows="0"/>
  <mergeCells count="11">
    <mergeCell ref="B2:Z2"/>
    <mergeCell ref="A3:Z3"/>
    <mergeCell ref="B37:B38"/>
    <mergeCell ref="A37:A38"/>
    <mergeCell ref="J37:J38"/>
    <mergeCell ref="A35:J35"/>
    <mergeCell ref="A17:E17"/>
    <mergeCell ref="B23:C23"/>
    <mergeCell ref="D23:E23"/>
    <mergeCell ref="A23:A24"/>
    <mergeCell ref="D5:E5"/>
  </mergeCells>
  <phoneticPr fontId="17" type="noConversion"/>
  <printOptions horizontalCentered="1" verticalCentered="1"/>
  <pageMargins left="0.19685039370078741" right="0.19685039370078741" top="0.59055118110236227" bottom="0.59055118110236227" header="0.39370078740157483" footer="0.39370078740157483"/>
  <pageSetup paperSize="9" scale="35" orientation="landscape" r:id="rId1"/>
  <headerFooter>
    <oddHeader>&amp;L&amp;"Times New Roman,Regular"&amp;65&amp;Z&amp;F</oddHeader>
    <oddFooter>&amp;C&amp;"Times New Roman,Regular"&amp;70Page &amp;P&amp;R&amp;"Times New Roman,Regular"&amp;70&amp;D  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Conetnt</vt:lpstr>
      <vt:lpstr>Conetnt!Print_Area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Zaware</dc:creator>
  <cp:lastModifiedBy>Prerana Pandav</cp:lastModifiedBy>
  <cp:lastPrinted>2024-07-06T07:05:17Z</cp:lastPrinted>
  <dcterms:created xsi:type="dcterms:W3CDTF">2015-06-05T18:17:20Z</dcterms:created>
  <dcterms:modified xsi:type="dcterms:W3CDTF">2026-10-16T12:16:13Z</dcterms:modified>
</cp:coreProperties>
</file>