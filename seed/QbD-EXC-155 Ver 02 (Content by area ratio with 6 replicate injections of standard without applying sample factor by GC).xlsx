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0.21\QC-Documentation\Validated Excel Template\Design Template\Batch Analysis\"/>
    </mc:Choice>
  </mc:AlternateContent>
  <xr:revisionPtr revIDLastSave="0" documentId="13_ncr:1_{88368D55-FBF0-4C44-AB3B-AB7650617629}" xr6:coauthVersionLast="47" xr6:coauthVersionMax="47" xr10:uidLastSave="{00000000-0000-0000-0000-000000000000}"/>
  <bookViews>
    <workbookView xWindow="-110" yWindow="-110" windowWidth="19420" windowHeight="10420" tabRatio="499" activeTab="1" xr2:uid="{00000000-000D-0000-FFFF-FFFF00000000}"/>
  </bookViews>
  <sheets>
    <sheet name="EG" sheetId="6" r:id="rId1"/>
    <sheet name="DEG" sheetId="7" r:id="rId2"/>
    <sheet name="TEG" sheetId="8" r:id="rId3"/>
  </sheets>
  <definedNames>
    <definedName name="_Regression_Out">#REF!</definedName>
    <definedName name="_Regression_X">#REF!</definedName>
    <definedName name="_Regression_Y">#REF!</definedName>
    <definedName name="n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8" l="1"/>
  <c r="I40" i="8"/>
  <c r="I39" i="8"/>
  <c r="I38" i="8"/>
  <c r="I37" i="8"/>
  <c r="I36" i="8"/>
  <c r="I35" i="8"/>
  <c r="J29" i="8"/>
  <c r="I29" i="8"/>
  <c r="H29" i="8"/>
  <c r="G29" i="8"/>
  <c r="F29" i="8"/>
  <c r="E29" i="8"/>
  <c r="D29" i="8"/>
  <c r="C29" i="8"/>
  <c r="J28" i="8"/>
  <c r="I28" i="8"/>
  <c r="H28" i="8"/>
  <c r="G28" i="8"/>
  <c r="G30" i="8" s="1"/>
  <c r="F28" i="8"/>
  <c r="E28" i="8"/>
  <c r="D28" i="8"/>
  <c r="C28" i="8"/>
  <c r="M27" i="8"/>
  <c r="N27" i="8" s="1"/>
  <c r="K27" i="8"/>
  <c r="M26" i="8"/>
  <c r="N26" i="8" s="1"/>
  <c r="K26" i="8"/>
  <c r="M25" i="8"/>
  <c r="N25" i="8" s="1"/>
  <c r="K25" i="8"/>
  <c r="M24" i="8"/>
  <c r="N24" i="8" s="1"/>
  <c r="K24" i="8"/>
  <c r="M23" i="8"/>
  <c r="N23" i="8" s="1"/>
  <c r="K23" i="8"/>
  <c r="M22" i="8"/>
  <c r="K22" i="8"/>
  <c r="J18" i="8"/>
  <c r="I18" i="8"/>
  <c r="I41" i="7"/>
  <c r="I40" i="7"/>
  <c r="I39" i="7"/>
  <c r="I38" i="7"/>
  <c r="I37" i="7"/>
  <c r="I36" i="7"/>
  <c r="I35" i="7"/>
  <c r="J29" i="7"/>
  <c r="I29" i="7"/>
  <c r="H29" i="7"/>
  <c r="G29" i="7"/>
  <c r="F29" i="7"/>
  <c r="E29" i="7"/>
  <c r="D29" i="7"/>
  <c r="C29" i="7"/>
  <c r="J28" i="7"/>
  <c r="I28" i="7"/>
  <c r="H28" i="7"/>
  <c r="G28" i="7"/>
  <c r="G30" i="7" s="1"/>
  <c r="F28" i="7"/>
  <c r="E28" i="7"/>
  <c r="D28" i="7"/>
  <c r="C28" i="7"/>
  <c r="M27" i="7"/>
  <c r="N27" i="7" s="1"/>
  <c r="K27" i="7"/>
  <c r="M26" i="7"/>
  <c r="N26" i="7" s="1"/>
  <c r="K26" i="7"/>
  <c r="M25" i="7"/>
  <c r="N25" i="7" s="1"/>
  <c r="K25" i="7"/>
  <c r="M24" i="7"/>
  <c r="N24" i="7" s="1"/>
  <c r="K24" i="7"/>
  <c r="M23" i="7"/>
  <c r="N23" i="7" s="1"/>
  <c r="K23" i="7"/>
  <c r="M22" i="7"/>
  <c r="K22" i="7"/>
  <c r="J18" i="7"/>
  <c r="I18" i="7"/>
  <c r="G28" i="6"/>
  <c r="G29" i="6"/>
  <c r="H28" i="6"/>
  <c r="M26" i="6"/>
  <c r="N26" i="6" s="1"/>
  <c r="K26" i="6"/>
  <c r="I41" i="6"/>
  <c r="I40" i="6"/>
  <c r="I39" i="6"/>
  <c r="I38" i="6"/>
  <c r="I37" i="6"/>
  <c r="I36" i="6"/>
  <c r="I35" i="6"/>
  <c r="J29" i="6"/>
  <c r="I29" i="6"/>
  <c r="H29" i="6"/>
  <c r="F29" i="6"/>
  <c r="E29" i="6"/>
  <c r="D29" i="6"/>
  <c r="C29" i="6"/>
  <c r="J28" i="6"/>
  <c r="I28" i="6"/>
  <c r="F28" i="6"/>
  <c r="E28" i="6"/>
  <c r="D28" i="6"/>
  <c r="C28" i="6"/>
  <c r="M27" i="6"/>
  <c r="N27" i="6" s="1"/>
  <c r="K27" i="6"/>
  <c r="M25" i="6"/>
  <c r="N25" i="6" s="1"/>
  <c r="K25" i="6"/>
  <c r="M24" i="6"/>
  <c r="N24" i="6" s="1"/>
  <c r="K24" i="6"/>
  <c r="M23" i="6"/>
  <c r="N23" i="6" s="1"/>
  <c r="K23" i="6"/>
  <c r="M22" i="6"/>
  <c r="K22" i="6"/>
  <c r="J18" i="6"/>
  <c r="I18" i="6"/>
  <c r="D30" i="7" l="1"/>
  <c r="L26" i="7"/>
  <c r="J35" i="7"/>
  <c r="J39" i="7"/>
  <c r="N22" i="7"/>
  <c r="L24" i="8"/>
  <c r="L26" i="8"/>
  <c r="N22" i="8"/>
  <c r="J30" i="8"/>
  <c r="J38" i="8"/>
  <c r="J36" i="7"/>
  <c r="J40" i="7"/>
  <c r="J35" i="8"/>
  <c r="J39" i="8"/>
  <c r="L25" i="7"/>
  <c r="H30" i="7"/>
  <c r="L22" i="7"/>
  <c r="L24" i="7"/>
  <c r="L27" i="7"/>
  <c r="I30" i="7"/>
  <c r="J37" i="7"/>
  <c r="J41" i="7"/>
  <c r="H30" i="8"/>
  <c r="J36" i="8"/>
  <c r="J40" i="8"/>
  <c r="J30" i="7"/>
  <c r="J38" i="7"/>
  <c r="L23" i="8"/>
  <c r="L25" i="8"/>
  <c r="L27" i="8"/>
  <c r="I30" i="8"/>
  <c r="J37" i="8"/>
  <c r="J41" i="8"/>
  <c r="K28" i="8"/>
  <c r="D30" i="8"/>
  <c r="F30" i="8"/>
  <c r="C30" i="8"/>
  <c r="L22" i="8"/>
  <c r="E30" i="8"/>
  <c r="M28" i="8"/>
  <c r="K29" i="8"/>
  <c r="M29" i="8"/>
  <c r="F30" i="7"/>
  <c r="M29" i="7"/>
  <c r="C30" i="7"/>
  <c r="E30" i="7"/>
  <c r="K28" i="7"/>
  <c r="M28" i="7"/>
  <c r="K29" i="7"/>
  <c r="L23" i="7"/>
  <c r="N22" i="6"/>
  <c r="C30" i="6"/>
  <c r="L26" i="6"/>
  <c r="D30" i="6"/>
  <c r="H30" i="6"/>
  <c r="I30" i="6"/>
  <c r="G30" i="6"/>
  <c r="E30" i="6"/>
  <c r="F30" i="6"/>
  <c r="J41" i="6"/>
  <c r="J35" i="6"/>
  <c r="L24" i="6"/>
  <c r="L27" i="6"/>
  <c r="J40" i="6"/>
  <c r="J37" i="6"/>
  <c r="J39" i="6"/>
  <c r="J30" i="6"/>
  <c r="J38" i="6"/>
  <c r="J36" i="6"/>
  <c r="L25" i="6"/>
  <c r="L23" i="6"/>
  <c r="M29" i="6"/>
  <c r="K29" i="6"/>
  <c r="M28" i="6"/>
  <c r="K28" i="6"/>
  <c r="L22" i="6"/>
  <c r="L28" i="7" l="1"/>
  <c r="K30" i="7"/>
  <c r="L29" i="7"/>
  <c r="L29" i="8"/>
  <c r="K30" i="8"/>
  <c r="L28" i="8"/>
  <c r="K36" i="8" s="1"/>
  <c r="L36" i="8" s="1"/>
  <c r="N28" i="8"/>
  <c r="N29" i="8"/>
  <c r="M30" i="8"/>
  <c r="N28" i="7"/>
  <c r="N29" i="7"/>
  <c r="M30" i="7"/>
  <c r="M30" i="6"/>
  <c r="K30" i="6"/>
  <c r="L28" i="6"/>
  <c r="K38" i="6" s="1"/>
  <c r="L29" i="6"/>
  <c r="N28" i="6"/>
  <c r="N29" i="6"/>
  <c r="N30" i="8" l="1"/>
  <c r="K41" i="7"/>
  <c r="L41" i="7" s="1"/>
  <c r="K36" i="7"/>
  <c r="L36" i="7" s="1"/>
  <c r="K37" i="7"/>
  <c r="L37" i="7" s="1"/>
  <c r="L30" i="7"/>
  <c r="K40" i="7"/>
  <c r="L40" i="7" s="1"/>
  <c r="K35" i="7"/>
  <c r="L35" i="7" s="1"/>
  <c r="K39" i="7"/>
  <c r="L39" i="7" s="1"/>
  <c r="K38" i="7"/>
  <c r="L38" i="7" s="1"/>
  <c r="N30" i="7"/>
  <c r="K35" i="8"/>
  <c r="K39" i="8"/>
  <c r="L39" i="8" s="1"/>
  <c r="K40" i="8"/>
  <c r="L40" i="8" s="1"/>
  <c r="K38" i="8"/>
  <c r="L38" i="8" s="1"/>
  <c r="L30" i="8"/>
  <c r="K41" i="8"/>
  <c r="L41" i="8" s="1"/>
  <c r="K37" i="8"/>
  <c r="L37" i="8" s="1"/>
  <c r="K35" i="6"/>
  <c r="K41" i="6"/>
  <c r="L41" i="6" s="1"/>
  <c r="K39" i="6"/>
  <c r="L39" i="6" s="1"/>
  <c r="K36" i="6"/>
  <c r="L36" i="6" s="1"/>
  <c r="K40" i="6"/>
  <c r="L40" i="6" s="1"/>
  <c r="K37" i="6"/>
  <c r="L37" i="6" s="1"/>
  <c r="N30" i="6"/>
  <c r="L30" i="6"/>
  <c r="L38" i="6"/>
  <c r="L35" i="6" l="1"/>
  <c r="L35" i="8"/>
  <c r="M35" i="8" s="1"/>
</calcChain>
</file>

<file path=xl/sharedStrings.xml><?xml version="1.0" encoding="utf-8"?>
<sst xmlns="http://schemas.openxmlformats.org/spreadsheetml/2006/main" count="271" uniqueCount="98">
  <si>
    <t>Product:</t>
  </si>
  <si>
    <t>Test:</t>
  </si>
  <si>
    <t>Analysis Date:</t>
  </si>
  <si>
    <t>LNB No:</t>
  </si>
  <si>
    <t>Retention Time</t>
  </si>
  <si>
    <t xml:space="preserve">Peak Area </t>
  </si>
  <si>
    <t>Mean</t>
  </si>
  <si>
    <t>SD</t>
  </si>
  <si>
    <t>%RSD</t>
  </si>
  <si>
    <t>Done by:</t>
  </si>
  <si>
    <t>Checked by:</t>
  </si>
  <si>
    <t xml:space="preserve"> Date:</t>
  </si>
  <si>
    <t>Date:</t>
  </si>
  <si>
    <t>Pg No:</t>
  </si>
  <si>
    <t>Instrument ID:</t>
  </si>
  <si>
    <t>Standard Name:</t>
  </si>
  <si>
    <t>B. No.</t>
  </si>
  <si>
    <t>Purity (%)</t>
  </si>
  <si>
    <t xml:space="preserve">Standards </t>
  </si>
  <si>
    <t>Sample details</t>
  </si>
  <si>
    <t>Sr.No.</t>
  </si>
  <si>
    <t>Batch No.</t>
  </si>
  <si>
    <t>Weight of Sample (mg)</t>
  </si>
  <si>
    <t>Diluent (ml)</t>
  </si>
  <si>
    <t>Standard Stock Solution</t>
  </si>
  <si>
    <t>Standard  Solution</t>
  </si>
  <si>
    <t>mg of standard</t>
  </si>
  <si>
    <t>ml Standard Stock Solution</t>
  </si>
  <si>
    <t>Content by area ratio by GC</t>
  </si>
  <si>
    <t>AR. No.</t>
  </si>
  <si>
    <t>Content (%)</t>
  </si>
  <si>
    <t>Blank interference</t>
  </si>
  <si>
    <t>Blank area before injection of standard solution</t>
  </si>
  <si>
    <t>Blank area before injection of sample solution</t>
  </si>
  <si>
    <t>Retention Time Bkt</t>
  </si>
  <si>
    <t xml:space="preserve">Bkt Peak Area </t>
  </si>
  <si>
    <t>Content (ppm)</t>
  </si>
  <si>
    <t>Limit of Ethylene Glycol and Diethylene Glycol</t>
  </si>
  <si>
    <t>-</t>
  </si>
  <si>
    <t>Diethylene Glycol</t>
  </si>
  <si>
    <t>Diethylene Glycol BKT</t>
  </si>
  <si>
    <t>Peak Area of Diethylene Glycol</t>
  </si>
  <si>
    <t>Area ratio</t>
  </si>
  <si>
    <t>Corrected Area ratio</t>
  </si>
  <si>
    <t>Area of Diethylene Glycol</t>
  </si>
  <si>
    <t>FIOBE</t>
  </si>
  <si>
    <t>Excel Sheet Number: QbD/EXC/155, Ver.02</t>
  </si>
  <si>
    <t>A/1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</si>
  <si>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</si>
  <si>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</si>
  <si>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</si>
  <si>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</si>
  <si>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</si>
  <si>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</si>
  <si>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</si>
  <si>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</si>
  <si>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</si>
  <si>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</si>
  <si>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</si>
  <si>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</si>
  <si>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</si>
  <si>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B</t>
  </si>
  <si>
    <t>QbD Research &amp; Development Lab. Pvt. Ltd.</t>
  </si>
  <si>
    <t>Ethylene Glycol</t>
  </si>
  <si>
    <t>Y2S6D</t>
  </si>
  <si>
    <t>ml with Diluent</t>
  </si>
  <si>
    <t>Ethylene Glycol BKT</t>
  </si>
  <si>
    <t>Area of Ethylene Glycol</t>
  </si>
  <si>
    <t>Peak Area of Ethylene Glycol</t>
  </si>
  <si>
    <t>Area ratio Ethylene Glycol to 1,3-butanediol Bkt</t>
  </si>
  <si>
    <t>Corrected Area ratio Ethylene Glycol to 1,3-butanediol Bkt</t>
  </si>
  <si>
    <t>Area of 1,3-butanediol</t>
  </si>
  <si>
    <t>Corrected Area ratio Ethylene Glycol to 1,3-butanediol</t>
  </si>
  <si>
    <t>Area ratio Ethylene Glycol to 1,3-butanediol</t>
  </si>
  <si>
    <t>1,3-butanediol Bkt</t>
  </si>
  <si>
    <t>1,3-butanediol</t>
  </si>
  <si>
    <t>Peak Area of 1,3-butanediol</t>
  </si>
  <si>
    <t>Corrected Area ratio Diethylene Glycol to 1,3-butanediol</t>
  </si>
  <si>
    <t>Area ratio Diethylene Glycol to 1,3-butanediol Bkt</t>
  </si>
  <si>
    <t>Corrected Area ratio Diethylene Glycol to 1,3-butanediol Bkt</t>
  </si>
  <si>
    <t>Triethylene Glycol</t>
  </si>
  <si>
    <t>32KFM</t>
  </si>
  <si>
    <t>Area of Triethylene Glycol</t>
  </si>
  <si>
    <t>Triethylene Glycol BKT</t>
  </si>
  <si>
    <t>Area ratio Triethylene Glycol to 1,3-butanediol</t>
  </si>
  <si>
    <t>Corrected Area ratio Triethylene Glycol to 1,3-butanediol</t>
  </si>
  <si>
    <t>Area ratio Triethylene Glycol to 1,3-butanediol Bkt</t>
  </si>
  <si>
    <t>Corrected Area ratio Triethylene Glycol to 1,3-butanediol Bkt</t>
  </si>
  <si>
    <t>Area ratio Diethylene Glycol to 1,3-butanediol</t>
  </si>
  <si>
    <t>Peak Area of Triethylene Glycol</t>
  </si>
  <si>
    <t>Reporting value in ppm</t>
  </si>
  <si>
    <t>R20260001862</t>
  </si>
  <si>
    <t>RMB0118084</t>
  </si>
  <si>
    <t>Not Detected</t>
  </si>
  <si>
    <t>Polysorbate 20</t>
  </si>
  <si>
    <t>QbD-INST-GCALS-40</t>
  </si>
  <si>
    <t>QbD-LNB-G-I-100</t>
  </si>
  <si>
    <t>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</si>
</sst>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"/>
    <numFmt numFmtId="166" formatCode="0.000"/>
    <numFmt numFmtId="167" formatCode="0.0000"/>
    <numFmt numFmtId="168" formatCode="[$-409]General"/>
    <numFmt numFmtId="169" formatCode="[$-14009]dd/mmm/yy;@"/>
  </numFmts>
  <fonts count="10">
    <font>
      <sz val="10"/>
      <name val="Arial"/>
      <family val="2"/>
      <charset val="1"/>
    </font>
    <font>
      <sz val="11"/>
      <color indexed="8"/>
      <name val="Calibri"/>
      <family val="2"/>
    </font>
    <font>
      <sz val="11"/>
      <color rgb="FF000000"/>
      <name val="Calibri1"/>
    </font>
    <font>
      <sz val="14"/>
      <name val="Times New Roman"/>
      <family val="1"/>
    </font>
    <font>
      <b/>
      <sz val="14"/>
      <name val="Times New Roman"/>
      <family val="1"/>
    </font>
    <font>
      <b/>
      <sz val="26"/>
      <name val="Times New Roman"/>
      <family val="1"/>
    </font>
    <font>
      <b/>
      <sz val="14"/>
      <color rgb="FF000000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 applyNumberFormat="0" applyBorder="0" applyProtection="0"/>
    <xf numFmtId="168" fontId="2" fillId="0" borderId="0" applyBorder="0" applyProtection="0"/>
  </cellStyleXfs>
  <cellXfs count="115">
    <xf numFmtId="0" fontId="0" fillId="0" borderId="0" xfId="0"/>
    <xf numFmtId="0" fontId="3" fillId="0" borderId="7" xfId="0" applyFont="1" applyBorder="1"/>
    <xf numFmtId="0" fontId="3" fillId="0" borderId="18" xfId="0" applyFont="1" applyBorder="1"/>
    <xf numFmtId="0" fontId="3" fillId="0" borderId="2" xfId="0" applyFont="1" applyBorder="1" applyAlignment="1">
      <alignment wrapText="1"/>
    </xf>
    <xf numFmtId="0" fontId="3" fillId="0" borderId="6" xfId="0" applyFont="1" applyBorder="1"/>
    <xf numFmtId="0" fontId="3" fillId="0" borderId="0" xfId="0" applyFont="1"/>
    <xf numFmtId="0" fontId="3" fillId="5" borderId="0" xfId="0" applyFont="1" applyFill="1"/>
    <xf numFmtId="0" fontId="3" fillId="3" borderId="0" xfId="0" applyFont="1" applyFill="1"/>
    <xf numFmtId="0" fontId="3" fillId="0" borderId="1" xfId="0" applyFont="1" applyBorder="1"/>
    <xf numFmtId="0" fontId="4" fillId="3" borderId="4" xfId="0" applyFont="1" applyFill="1" applyBorder="1" applyAlignment="1">
      <alignment horizontal="center" vertical="center" wrapText="1"/>
    </xf>
    <xf numFmtId="169" fontId="3" fillId="0" borderId="4" xfId="0" quotePrefix="1" applyNumberFormat="1" applyFont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4" xfId="0" quotePrefix="1" applyFont="1" applyBorder="1" applyAlignment="1" applyProtection="1">
      <alignment horizontal="center" vertical="center" wrapText="1"/>
      <protection locked="0"/>
    </xf>
    <xf numFmtId="164" fontId="3" fillId="0" borderId="4" xfId="0" applyNumberFormat="1" applyFont="1" applyBorder="1" applyAlignment="1" applyProtection="1">
      <alignment horizontal="center" vertical="center" wrapText="1"/>
      <protection locked="0"/>
    </xf>
    <xf numFmtId="164" fontId="6" fillId="0" borderId="4" xfId="0" applyNumberFormat="1" applyFont="1" applyBorder="1" applyAlignment="1" applyProtection="1">
      <alignment horizontal="center" vertical="center" wrapText="1"/>
      <protection locked="0"/>
    </xf>
    <xf numFmtId="164" fontId="9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166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167" fontId="3" fillId="3" borderId="4" xfId="0" applyNumberFormat="1" applyFont="1" applyFill="1" applyBorder="1" applyAlignment="1">
      <alignment horizontal="center" vertical="center" wrapText="1"/>
    </xf>
    <xf numFmtId="167" fontId="3" fillId="6" borderId="4" xfId="0" applyNumberFormat="1" applyFont="1" applyFill="1" applyBorder="1" applyAlignment="1">
      <alignment horizontal="center" vertical="center" wrapText="1"/>
    </xf>
    <xf numFmtId="167" fontId="4" fillId="8" borderId="4" xfId="0" applyNumberFormat="1" applyFont="1" applyFill="1" applyBorder="1" applyAlignment="1">
      <alignment horizontal="center" vertical="center" wrapText="1"/>
    </xf>
    <xf numFmtId="166" fontId="4" fillId="6" borderId="4" xfId="0" applyNumberFormat="1" applyFont="1" applyFill="1" applyBorder="1" applyAlignment="1">
      <alignment horizontal="center" vertical="center" wrapText="1"/>
    </xf>
    <xf numFmtId="166" fontId="4" fillId="6" borderId="13" xfId="0" applyNumberFormat="1" applyFont="1" applyFill="1" applyBorder="1" applyAlignment="1">
      <alignment horizontal="center" vertical="center" wrapText="1"/>
    </xf>
    <xf numFmtId="2" fontId="4" fillId="6" borderId="4" xfId="0" applyNumberFormat="1" applyFont="1" applyFill="1" applyBorder="1" applyAlignment="1">
      <alignment horizontal="center" vertical="center" wrapText="1"/>
    </xf>
    <xf numFmtId="0" fontId="7" fillId="6" borderId="10" xfId="2" applyFont="1" applyFill="1" applyBorder="1" applyAlignment="1">
      <alignment horizontal="center" vertical="center" wrapText="1"/>
    </xf>
    <xf numFmtId="0" fontId="7" fillId="0" borderId="10" xfId="1" applyFont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 applyProtection="1">
      <alignment horizontal="center" vertical="center" wrapText="1"/>
      <protection locked="0"/>
    </xf>
    <xf numFmtId="166" fontId="7" fillId="0" borderId="10" xfId="3" applyNumberFormat="1" applyFont="1" applyBorder="1" applyAlignment="1" applyProtection="1">
      <alignment horizontal="center" vertical="center" wrapText="1"/>
      <protection locked="0"/>
    </xf>
    <xf numFmtId="1" fontId="7" fillId="6" borderId="10" xfId="2" applyNumberFormat="1" applyFont="1" applyFill="1" applyBorder="1" applyAlignment="1">
      <alignment horizontal="center" vertical="center" wrapText="1"/>
    </xf>
    <xf numFmtId="166" fontId="7" fillId="0" borderId="4" xfId="3" applyNumberFormat="1" applyFont="1" applyBorder="1" applyAlignment="1" applyProtection="1">
      <alignment horizontal="center" vertical="center" wrapText="1"/>
      <protection locked="0"/>
    </xf>
    <xf numFmtId="0" fontId="8" fillId="0" borderId="4" xfId="2" applyFont="1" applyBorder="1" applyAlignment="1" applyProtection="1">
      <alignment horizontal="center" vertical="center" wrapText="1"/>
      <protection locked="0"/>
    </xf>
    <xf numFmtId="0" fontId="8" fillId="0" borderId="12" xfId="2" quotePrefix="1" applyFont="1" applyBorder="1" applyAlignment="1" applyProtection="1">
      <alignment horizontal="center" vertical="center" wrapText="1"/>
      <protection locked="0"/>
    </xf>
    <xf numFmtId="2" fontId="3" fillId="0" borderId="4" xfId="0" applyNumberFormat="1" applyFont="1" applyBorder="1" applyAlignment="1" applyProtection="1">
      <alignment horizontal="center" vertical="center" wrapText="1"/>
      <protection locked="0"/>
    </xf>
    <xf numFmtId="167" fontId="3" fillId="9" borderId="4" xfId="0" applyNumberFormat="1" applyFont="1" applyFill="1" applyBorder="1" applyAlignment="1">
      <alignment horizontal="center" vertical="center" wrapText="1"/>
    </xf>
    <xf numFmtId="167" fontId="7" fillId="6" borderId="4" xfId="3" applyNumberFormat="1" applyFont="1" applyFill="1" applyBorder="1" applyAlignment="1" applyProtection="1">
      <alignment horizontal="center" vertical="center" wrapText="1"/>
    </xf>
    <xf numFmtId="167" fontId="3" fillId="0" borderId="4" xfId="0" applyNumberFormat="1" applyFont="1" applyBorder="1" applyAlignment="1" applyProtection="1">
      <alignment horizontal="center" vertical="center" wrapText="1"/>
      <protection locked="0"/>
    </xf>
    <xf numFmtId="0" fontId="8" fillId="0" borderId="12" xfId="2" applyFont="1" applyBorder="1" applyAlignment="1" applyProtection="1">
      <alignment horizontal="center" vertical="center" wrapText="1"/>
      <protection locked="0"/>
    </xf>
    <xf numFmtId="2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1" fontId="4" fillId="3" borderId="6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7" borderId="3" xfId="1" applyFont="1" applyFill="1" applyBorder="1" applyAlignment="1">
      <alignment horizontal="left" vertical="center" wrapText="1"/>
    </xf>
    <xf numFmtId="0" fontId="7" fillId="0" borderId="3" xfId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wrapText="1"/>
    </xf>
    <xf numFmtId="164" fontId="9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4" fontId="6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7" fillId="6" borderId="19" xfId="2" applyFont="1" applyFill="1" applyBorder="1" applyAlignment="1">
      <alignment horizontal="center" vertical="center" wrapText="1"/>
    </xf>
    <xf numFmtId="0" fontId="8" fillId="5" borderId="20" xfId="2" applyFont="1" applyFill="1" applyBorder="1" applyAlignment="1" applyProtection="1">
      <alignment horizontal="center" vertical="center" wrapText="1"/>
      <protection locked="0"/>
    </xf>
    <xf numFmtId="0" fontId="3" fillId="3" borderId="24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1" fontId="4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right" wrapText="1"/>
    </xf>
    <xf numFmtId="0" fontId="3" fillId="3" borderId="28" xfId="0" applyFont="1" applyFill="1" applyBorder="1" applyAlignment="1">
      <alignment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7" fillId="7" borderId="20" xfId="1" applyFont="1" applyFill="1" applyBorder="1" applyAlignment="1">
      <alignment horizontal="center" vertical="center" wrapText="1"/>
    </xf>
    <xf numFmtId="0" fontId="7" fillId="7" borderId="12" xfId="1" applyFont="1" applyFill="1" applyBorder="1" applyAlignment="1">
      <alignment horizontal="center" vertical="center" wrapText="1"/>
    </xf>
    <xf numFmtId="0" fontId="7" fillId="7" borderId="11" xfId="1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3" fillId="3" borderId="23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8" fillId="4" borderId="13" xfId="1" applyFont="1" applyFill="1" applyBorder="1" applyAlignment="1" applyProtection="1">
      <alignment horizontal="left" vertical="center" wrapText="1"/>
      <protection locked="0"/>
    </xf>
    <xf numFmtId="0" fontId="8" fillId="4" borderId="11" xfId="1" applyFont="1" applyFill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164" fontId="8" fillId="4" borderId="13" xfId="1" applyNumberFormat="1" applyFont="1" applyFill="1" applyBorder="1" applyAlignment="1" applyProtection="1">
      <alignment horizontal="left" vertical="center" wrapText="1"/>
      <protection locked="0"/>
    </xf>
    <xf numFmtId="164" fontId="8" fillId="4" borderId="11" xfId="1" applyNumberFormat="1" applyFont="1" applyFill="1" applyBorder="1" applyAlignment="1" applyProtection="1">
      <alignment horizontal="left" vertical="center" wrapText="1"/>
      <protection locked="0"/>
    </xf>
    <xf numFmtId="2" fontId="4" fillId="8" borderId="4" xfId="0" applyNumberFormat="1" applyFont="1" applyFill="1" applyBorder="1" applyAlignment="1">
      <alignment horizontal="center" vertical="center" wrapText="1"/>
    </xf>
    <xf numFmtId="2" fontId="4" fillId="8" borderId="13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0" xfId="0" applyNumberFormat="1" applyFont="1" applyProtection="1">
      <protection locked="0"/>
    </xf>
  </cellXfs>
  <cellStyles count="5">
    <cellStyle name="Excel Built-in Normal" xfId="2" xr:uid="{00000000-0005-0000-0000-000000000000}"/>
    <cellStyle name="Excel Built-in Normal 2" xfId="4" xr:uid="{00000000-0005-0000-0000-000001000000}"/>
    <cellStyle name="Normal" xfId="0" builtinId="0"/>
    <cellStyle name="Normal 3" xfId="1" xr:uid="{00000000-0005-0000-0000-000003000000}"/>
    <cellStyle name="Normal 3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17010</xdr:rowOff>
    </xdr:from>
    <xdr:to>
      <xdr:col>1</xdr:col>
      <xdr:colOff>1122589</xdr:colOff>
      <xdr:row>1</xdr:row>
      <xdr:rowOff>178254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F458A-A7A1-426D-B6B7-726085D0B9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435429" y="289153"/>
          <a:ext cx="2245178" cy="50006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17010</xdr:rowOff>
    </xdr:from>
    <xdr:to>
      <xdr:col>1</xdr:col>
      <xdr:colOff>1122589</xdr:colOff>
      <xdr:row>1</xdr:row>
      <xdr:rowOff>178254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24B72-24B9-4469-A9F4-45943BF8A7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0" y="17010"/>
          <a:ext cx="1122589" cy="50414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17010</xdr:rowOff>
    </xdr:from>
    <xdr:to>
      <xdr:col>1</xdr:col>
      <xdr:colOff>1122589</xdr:colOff>
      <xdr:row>1</xdr:row>
      <xdr:rowOff>178254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3FA19-BC42-482B-AA52-3586CA3A180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0" y="17010"/>
          <a:ext cx="1122589" cy="504144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5AAD-FE59-4A33-80E9-42791590C0DC}">
  <sheetPr>
    <pageSetUpPr fitToPage="1"/>
  </sheetPr>
  <dimension ref="A1:P47"/>
  <sheetViews>
    <sheetView topLeftCell="B15" zoomScale="50" zoomScaleNormal="50" workbookViewId="0">
      <selection activeCell="C35" sqref="C35:H35"/>
    </sheetView>
  </sheetViews>
  <sheetFormatPr defaultColWidth="28.453125" defaultRowHeight="18"/>
  <cols>
    <col min="1" max="1" width="5.453125" style="8" hidden="1" customWidth="1"/>
    <col min="2" max="2" width="23.453125" style="5" bestFit="1" customWidth="1"/>
    <col min="3" max="3" width="19.54296875" style="5" bestFit="1" customWidth="1"/>
    <col min="4" max="4" width="33" style="5" bestFit="1" customWidth="1"/>
    <col min="5" max="5" width="27.7265625" style="5" bestFit="1" customWidth="1"/>
    <col min="6" max="6" width="19.26953125" style="5" bestFit="1" customWidth="1"/>
    <col min="7" max="7" width="34.81640625" style="5" bestFit="1" customWidth="1"/>
    <col min="8" max="8" width="33.1796875" style="5" bestFit="1" customWidth="1"/>
    <col min="9" max="10" width="32.81640625" style="5" bestFit="1" customWidth="1"/>
    <col min="11" max="11" width="29.7265625" style="5" bestFit="1" customWidth="1"/>
    <col min="12" max="12" width="37.54296875" style="5" bestFit="1" customWidth="1"/>
    <col min="13" max="13" width="33.1796875" style="5" bestFit="1" customWidth="1"/>
    <col min="14" max="14" width="37.54296875" style="5" bestFit="1" customWidth="1"/>
    <col min="15" max="15" width="3.26953125" style="5" bestFit="1" customWidth="1"/>
    <col min="16" max="16384" width="28.453125" style="5"/>
  </cols>
  <sheetData>
    <row r="1" spans="1:15" s="4" customFormat="1" ht="18.5" hidden="1" thickBot="1">
      <c r="A1" s="2" t="s">
        <v>47</v>
      </c>
      <c r="B1" s="53" t="s">
        <v>61</v>
      </c>
      <c r="C1" s="53" t="s">
        <v>48</v>
      </c>
      <c r="D1" s="53" t="s">
        <v>49</v>
      </c>
      <c r="E1" s="53" t="s">
        <v>50</v>
      </c>
      <c r="F1" s="53" t="s">
        <v>51</v>
      </c>
      <c r="G1" s="53" t="s">
        <v>52</v>
      </c>
      <c r="H1" s="53" t="s">
        <v>53</v>
      </c>
      <c r="I1" s="53" t="s">
        <v>54</v>
      </c>
      <c r="J1" s="53" t="s">
        <v>55</v>
      </c>
      <c r="K1" s="53" t="s">
        <v>56</v>
      </c>
      <c r="L1" s="53" t="s">
        <v>57</v>
      </c>
      <c r="M1" s="53" t="s">
        <v>58</v>
      </c>
      <c r="N1" s="53" t="s">
        <v>59</v>
      </c>
      <c r="O1" s="1" t="s">
        <v>60</v>
      </c>
    </row>
    <row r="2" spans="1:15" ht="31.5" customHeight="1">
      <c r="A2" s="50">
        <v>2</v>
      </c>
      <c r="B2" s="95"/>
      <c r="C2" s="97" t="s">
        <v>62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</row>
    <row r="3" spans="1:15" ht="28.5" customHeight="1" thickBot="1">
      <c r="A3" s="51">
        <v>3</v>
      </c>
      <c r="B3" s="96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2"/>
    </row>
    <row r="4" spans="1:15" ht="18.5" thickBot="1">
      <c r="A4" s="51">
        <v>4</v>
      </c>
      <c r="B4" s="92" t="s">
        <v>28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4"/>
    </row>
    <row r="5" spans="1:15" ht="18.5" thickBot="1">
      <c r="A5" s="51">
        <v>5</v>
      </c>
      <c r="B5" s="103" t="s">
        <v>46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</row>
    <row r="6" spans="1:15">
      <c r="A6" s="51">
        <v>6</v>
      </c>
      <c r="B6" s="54"/>
      <c r="C6" s="55"/>
      <c r="D6" s="55"/>
      <c r="E6" s="56"/>
      <c r="F6" s="56"/>
      <c r="G6" s="56"/>
      <c r="H6" s="56"/>
      <c r="I6" s="57"/>
      <c r="J6" s="57"/>
      <c r="K6" s="55"/>
      <c r="L6" s="55"/>
      <c r="M6" s="55"/>
      <c r="N6" s="55"/>
      <c r="O6" s="3"/>
    </row>
    <row r="7" spans="1:15">
      <c r="A7" s="51">
        <v>7</v>
      </c>
      <c r="B7" s="58" t="s">
        <v>0</v>
      </c>
      <c r="C7" s="91" t="s">
        <v>94</v>
      </c>
      <c r="D7" s="91"/>
      <c r="E7" s="56"/>
      <c r="F7" s="59"/>
      <c r="G7" s="59"/>
      <c r="H7" s="59"/>
      <c r="I7" s="59"/>
      <c r="J7" s="57"/>
      <c r="K7" s="55"/>
      <c r="L7" s="55"/>
      <c r="M7" s="55"/>
      <c r="N7" s="55"/>
      <c r="O7" s="3"/>
    </row>
    <row r="8" spans="1:15">
      <c r="A8" s="51">
        <v>8</v>
      </c>
      <c r="B8" s="58" t="s">
        <v>1</v>
      </c>
      <c r="C8" s="91" t="s">
        <v>37</v>
      </c>
      <c r="D8" s="91"/>
      <c r="E8" s="56"/>
      <c r="J8" s="55"/>
      <c r="M8" s="9" t="s">
        <v>2</v>
      </c>
      <c r="N8" s="10">
        <v>46314</v>
      </c>
      <c r="O8" s="3"/>
    </row>
    <row r="9" spans="1:15">
      <c r="A9" s="51">
        <v>9</v>
      </c>
      <c r="B9" s="60" t="s">
        <v>14</v>
      </c>
      <c r="C9" s="108" t="s">
        <v>95</v>
      </c>
      <c r="D9" s="108"/>
      <c r="E9" s="57"/>
      <c r="F9" s="59"/>
      <c r="G9" s="59"/>
      <c r="H9" s="59"/>
      <c r="I9" s="59"/>
      <c r="J9" s="55"/>
      <c r="M9" s="11" t="s">
        <v>3</v>
      </c>
      <c r="N9" s="12" t="s">
        <v>96</v>
      </c>
      <c r="O9" s="3"/>
    </row>
    <row r="10" spans="1:15">
      <c r="A10" s="51">
        <v>10</v>
      </c>
      <c r="B10" s="61"/>
      <c r="C10" s="57"/>
      <c r="D10" s="57"/>
      <c r="E10" s="57"/>
      <c r="F10" s="59"/>
      <c r="G10" s="59"/>
      <c r="H10" s="59"/>
      <c r="I10" s="59"/>
      <c r="J10" s="55"/>
      <c r="M10" s="11" t="s">
        <v>13</v>
      </c>
      <c r="N10" s="13" t="s">
        <v>97</v>
      </c>
      <c r="O10" s="3"/>
    </row>
    <row r="11" spans="1:15">
      <c r="A11" s="51">
        <v>11</v>
      </c>
      <c r="B11" s="62" t="s">
        <v>15</v>
      </c>
      <c r="C11" s="106" t="s">
        <v>63</v>
      </c>
      <c r="D11" s="107"/>
      <c r="E11" s="55"/>
      <c r="F11" s="59"/>
      <c r="G11" s="59"/>
      <c r="H11" s="59"/>
      <c r="I11" s="59"/>
      <c r="J11" s="56"/>
      <c r="K11" s="55"/>
      <c r="L11" s="55"/>
      <c r="M11" s="55"/>
      <c r="N11" s="55"/>
      <c r="O11" s="3"/>
    </row>
    <row r="12" spans="1:15">
      <c r="A12" s="51">
        <v>12</v>
      </c>
      <c r="B12" s="62" t="s">
        <v>16</v>
      </c>
      <c r="C12" s="106" t="s">
        <v>64</v>
      </c>
      <c r="D12" s="107"/>
      <c r="E12" s="55"/>
      <c r="F12" s="59"/>
      <c r="G12" s="59"/>
      <c r="H12" s="59"/>
      <c r="I12" s="59"/>
      <c r="J12" s="57"/>
      <c r="K12" s="55"/>
      <c r="L12" s="55"/>
      <c r="M12" s="55"/>
      <c r="N12" s="55"/>
      <c r="O12" s="3"/>
    </row>
    <row r="13" spans="1:15">
      <c r="A13" s="51">
        <v>13</v>
      </c>
      <c r="B13" s="63" t="s">
        <v>17</v>
      </c>
      <c r="C13" s="109">
        <v>99.8</v>
      </c>
      <c r="D13" s="110"/>
      <c r="E13" s="55"/>
      <c r="F13" s="59"/>
      <c r="G13" s="59"/>
      <c r="H13" s="59"/>
      <c r="I13" s="59"/>
      <c r="J13" s="55"/>
      <c r="K13" s="55"/>
      <c r="L13" s="55"/>
      <c r="M13" s="55"/>
      <c r="N13" s="3"/>
      <c r="O13" s="3"/>
    </row>
    <row r="14" spans="1:15">
      <c r="A14" s="51">
        <v>14</v>
      </c>
      <c r="B14" s="64"/>
      <c r="C14" s="55"/>
      <c r="D14" s="55"/>
      <c r="E14" s="55"/>
      <c r="F14" s="55"/>
      <c r="G14" s="65"/>
      <c r="I14" s="55"/>
      <c r="J14" s="55"/>
      <c r="K14" s="59"/>
      <c r="L14" s="55"/>
      <c r="M14" s="66"/>
      <c r="N14" s="66"/>
      <c r="O14" s="3"/>
    </row>
    <row r="15" spans="1:15" ht="35">
      <c r="A15" s="51">
        <v>15</v>
      </c>
      <c r="B15" s="67" t="s">
        <v>24</v>
      </c>
      <c r="C15" s="14">
        <v>200</v>
      </c>
      <c r="D15" s="15" t="s">
        <v>26</v>
      </c>
      <c r="E15" s="16">
        <v>100</v>
      </c>
      <c r="F15" s="15" t="s">
        <v>65</v>
      </c>
      <c r="G15" s="65"/>
      <c r="H15" s="17" t="s">
        <v>31</v>
      </c>
      <c r="I15" s="17" t="s">
        <v>32</v>
      </c>
      <c r="J15" s="17" t="s">
        <v>33</v>
      </c>
      <c r="K15" s="57"/>
      <c r="L15" s="57"/>
      <c r="M15" s="66"/>
      <c r="N15" s="66"/>
      <c r="O15" s="3"/>
    </row>
    <row r="16" spans="1:15">
      <c r="A16" s="51">
        <v>16</v>
      </c>
      <c r="B16" s="67"/>
      <c r="C16" s="14">
        <v>1</v>
      </c>
      <c r="D16" s="15" t="s">
        <v>38</v>
      </c>
      <c r="E16" s="16">
        <v>1</v>
      </c>
      <c r="F16" s="15" t="s">
        <v>38</v>
      </c>
      <c r="G16" s="57"/>
      <c r="H16" s="17" t="s">
        <v>67</v>
      </c>
      <c r="I16" s="17">
        <v>0</v>
      </c>
      <c r="J16" s="17">
        <v>0</v>
      </c>
      <c r="K16" s="57"/>
      <c r="L16" s="57"/>
      <c r="M16" s="55"/>
      <c r="N16" s="55"/>
      <c r="O16" s="3"/>
    </row>
    <row r="17" spans="1:15">
      <c r="A17" s="51">
        <v>17</v>
      </c>
      <c r="B17" s="67" t="s">
        <v>38</v>
      </c>
      <c r="C17" s="14">
        <v>1</v>
      </c>
      <c r="D17" s="15" t="s">
        <v>38</v>
      </c>
      <c r="E17" s="16">
        <v>1</v>
      </c>
      <c r="F17" s="15" t="s">
        <v>38</v>
      </c>
      <c r="G17" s="55"/>
      <c r="H17" s="17" t="s">
        <v>71</v>
      </c>
      <c r="I17" s="17">
        <v>1</v>
      </c>
      <c r="J17" s="17">
        <v>1</v>
      </c>
      <c r="K17" s="57"/>
      <c r="L17" s="57"/>
      <c r="M17" s="55"/>
      <c r="N17" s="55"/>
      <c r="O17" s="3"/>
    </row>
    <row r="18" spans="1:15" ht="35">
      <c r="A18" s="51">
        <v>18</v>
      </c>
      <c r="B18" s="67" t="s">
        <v>25</v>
      </c>
      <c r="C18" s="14">
        <v>2</v>
      </c>
      <c r="D18" s="15" t="s">
        <v>27</v>
      </c>
      <c r="E18" s="16">
        <v>100</v>
      </c>
      <c r="F18" s="15" t="s">
        <v>65</v>
      </c>
      <c r="G18" s="55"/>
      <c r="H18" s="17" t="s">
        <v>73</v>
      </c>
      <c r="I18" s="9">
        <f>I16/I17</f>
        <v>0</v>
      </c>
      <c r="J18" s="9">
        <f>J16/J17</f>
        <v>0</v>
      </c>
      <c r="K18" s="55"/>
      <c r="L18" s="68"/>
      <c r="M18" s="55"/>
      <c r="N18" s="55"/>
      <c r="O18" s="3"/>
    </row>
    <row r="19" spans="1:15">
      <c r="A19" s="51">
        <v>19</v>
      </c>
      <c r="B19" s="6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3"/>
    </row>
    <row r="20" spans="1:15" ht="38.25" customHeight="1">
      <c r="A20" s="51">
        <v>20</v>
      </c>
      <c r="B20" s="87" t="s">
        <v>18</v>
      </c>
      <c r="C20" s="89" t="s">
        <v>63</v>
      </c>
      <c r="D20" s="90"/>
      <c r="E20" s="89" t="s">
        <v>66</v>
      </c>
      <c r="F20" s="90"/>
      <c r="G20" s="89" t="s">
        <v>75</v>
      </c>
      <c r="H20" s="90"/>
      <c r="I20" s="89" t="s">
        <v>74</v>
      </c>
      <c r="J20" s="90"/>
      <c r="K20" s="82" t="s">
        <v>73</v>
      </c>
      <c r="L20" s="82" t="s">
        <v>72</v>
      </c>
      <c r="M20" s="82" t="s">
        <v>69</v>
      </c>
      <c r="N20" s="82" t="s">
        <v>70</v>
      </c>
      <c r="O20" s="3"/>
    </row>
    <row r="21" spans="1:15" ht="38.25" customHeight="1">
      <c r="A21" s="51">
        <v>21</v>
      </c>
      <c r="B21" s="88"/>
      <c r="C21" s="18" t="s">
        <v>4</v>
      </c>
      <c r="D21" s="19" t="s">
        <v>5</v>
      </c>
      <c r="E21" s="18" t="s">
        <v>34</v>
      </c>
      <c r="F21" s="19" t="s">
        <v>35</v>
      </c>
      <c r="G21" s="18" t="s">
        <v>4</v>
      </c>
      <c r="H21" s="19" t="s">
        <v>5</v>
      </c>
      <c r="I21" s="18" t="s">
        <v>34</v>
      </c>
      <c r="J21" s="19" t="s">
        <v>35</v>
      </c>
      <c r="K21" s="83"/>
      <c r="L21" s="83"/>
      <c r="M21" s="83"/>
      <c r="N21" s="83"/>
      <c r="O21" s="3"/>
    </row>
    <row r="22" spans="1:15">
      <c r="A22" s="51">
        <v>22</v>
      </c>
      <c r="B22" s="69">
        <v>1</v>
      </c>
      <c r="C22" s="40">
        <v>4.16</v>
      </c>
      <c r="D22" s="40">
        <v>88.19</v>
      </c>
      <c r="E22" s="113">
        <v>4.1399999999999997</v>
      </c>
      <c r="F22" s="40">
        <v>94.15</v>
      </c>
      <c r="G22" s="40">
        <v>9.84</v>
      </c>
      <c r="H22" s="40">
        <v>143.13</v>
      </c>
      <c r="I22" s="113">
        <v>9.82</v>
      </c>
      <c r="J22" s="40">
        <v>144.49</v>
      </c>
      <c r="K22" s="21">
        <f t="shared" ref="K22:K27" si="0">(D22/H22)</f>
        <v>0.6161531474882973</v>
      </c>
      <c r="L22" s="21">
        <f>K22-$I$18</f>
        <v>0.6161531474882973</v>
      </c>
      <c r="M22" s="22">
        <f t="shared" ref="M22:M27" si="1">IF(F22="","",(F22/J22))</f>
        <v>0.65160218700256078</v>
      </c>
      <c r="N22" s="22">
        <f>IF(M22="","",(M22-$I$18))</f>
        <v>0.65160218700256078</v>
      </c>
      <c r="O22" s="3"/>
    </row>
    <row r="23" spans="1:15">
      <c r="A23" s="51">
        <v>23</v>
      </c>
      <c r="B23" s="69">
        <v>2</v>
      </c>
      <c r="C23" s="40">
        <v>4.17</v>
      </c>
      <c r="D23" s="40">
        <v>115.33</v>
      </c>
      <c r="E23" s="40"/>
      <c r="F23" s="40"/>
      <c r="G23" s="40">
        <v>9.84</v>
      </c>
      <c r="H23" s="40">
        <v>183.93</v>
      </c>
      <c r="I23" s="40"/>
      <c r="J23" s="40"/>
      <c r="K23" s="21">
        <f t="shared" si="0"/>
        <v>0.62703202305224814</v>
      </c>
      <c r="L23" s="21">
        <f t="shared" ref="L23:L27" si="2">K23-$I$18</f>
        <v>0.62703202305224814</v>
      </c>
      <c r="M23" s="22" t="str">
        <f t="shared" si="1"/>
        <v/>
      </c>
      <c r="N23" s="22" t="str">
        <f>IF(M23="","",(M23-$I$18))</f>
        <v/>
      </c>
      <c r="O23" s="3"/>
    </row>
    <row r="24" spans="1:15">
      <c r="A24" s="51">
        <v>24</v>
      </c>
      <c r="B24" s="69">
        <v>3</v>
      </c>
      <c r="C24" s="40">
        <v>4.16</v>
      </c>
      <c r="D24" s="40">
        <v>91.01</v>
      </c>
      <c r="E24" s="40"/>
      <c r="F24" s="40"/>
      <c r="G24" s="40">
        <v>9.84</v>
      </c>
      <c r="H24" s="40">
        <v>143.66999999999999</v>
      </c>
      <c r="I24" s="114"/>
      <c r="J24" s="40"/>
      <c r="K24" s="21">
        <f t="shared" si="0"/>
        <v>0.63346558084499205</v>
      </c>
      <c r="L24" s="21">
        <f t="shared" si="2"/>
        <v>0.63346558084499205</v>
      </c>
      <c r="M24" s="22" t="str">
        <f t="shared" si="1"/>
        <v/>
      </c>
      <c r="N24" s="22" t="str">
        <f>IF(M24="","",(M24-$I$18))</f>
        <v/>
      </c>
      <c r="O24" s="3"/>
    </row>
    <row r="25" spans="1:15">
      <c r="A25" s="51">
        <v>25</v>
      </c>
      <c r="B25" s="69">
        <v>4</v>
      </c>
      <c r="C25" s="40">
        <v>4.16</v>
      </c>
      <c r="D25" s="40">
        <v>90.8</v>
      </c>
      <c r="E25" s="40"/>
      <c r="F25" s="40"/>
      <c r="G25" s="40">
        <v>9.84</v>
      </c>
      <c r="H25" s="40">
        <v>143.1</v>
      </c>
      <c r="I25" s="40"/>
      <c r="J25" s="40"/>
      <c r="K25" s="21">
        <f t="shared" si="0"/>
        <v>0.63452131376659682</v>
      </c>
      <c r="L25" s="21">
        <f t="shared" si="2"/>
        <v>0.63452131376659682</v>
      </c>
      <c r="M25" s="22" t="str">
        <f t="shared" si="1"/>
        <v/>
      </c>
      <c r="N25" s="22" t="str">
        <f>IF(M25="","",(M25-$I$18))</f>
        <v/>
      </c>
      <c r="O25" s="3"/>
    </row>
    <row r="26" spans="1:15">
      <c r="A26" s="51">
        <v>26</v>
      </c>
      <c r="B26" s="69">
        <v>5</v>
      </c>
      <c r="C26" s="40">
        <v>4.16</v>
      </c>
      <c r="D26" s="40">
        <v>93.55</v>
      </c>
      <c r="E26" s="40"/>
      <c r="F26" s="40"/>
      <c r="G26" s="40">
        <v>9.83</v>
      </c>
      <c r="H26" s="40">
        <v>145.97999999999999</v>
      </c>
      <c r="I26" s="40"/>
      <c r="J26" s="40"/>
      <c r="K26" s="21">
        <f t="shared" si="0"/>
        <v>0.64084121112481163</v>
      </c>
      <c r="L26" s="21">
        <f t="shared" si="2"/>
        <v>0.64084121112481163</v>
      </c>
      <c r="M26" s="22" t="str">
        <f t="shared" si="1"/>
        <v/>
      </c>
      <c r="N26" s="22" t="str">
        <f>IF(M26="","",(M26-$I$18))</f>
        <v/>
      </c>
      <c r="O26" s="3"/>
    </row>
    <row r="27" spans="1:15">
      <c r="A27" s="51">
        <v>27</v>
      </c>
      <c r="B27" s="69">
        <v>6</v>
      </c>
      <c r="C27" s="40">
        <v>4.1500000000000004</v>
      </c>
      <c r="D27" s="40">
        <v>104.85</v>
      </c>
      <c r="E27" s="40"/>
      <c r="F27" s="40"/>
      <c r="G27" s="40">
        <v>9.82</v>
      </c>
      <c r="H27" s="40">
        <v>168.5</v>
      </c>
      <c r="I27" s="40"/>
      <c r="J27" s="40"/>
      <c r="K27" s="21">
        <f t="shared" si="0"/>
        <v>0.62225519287833819</v>
      </c>
      <c r="L27" s="21">
        <f t="shared" si="2"/>
        <v>0.62225519287833819</v>
      </c>
      <c r="M27" s="22" t="str">
        <f t="shared" si="1"/>
        <v/>
      </c>
      <c r="N27" s="22" t="str">
        <f t="shared" ref="N27" si="3">IF(M27="","",(M27-$I$18))</f>
        <v/>
      </c>
      <c r="O27" s="3"/>
    </row>
    <row r="28" spans="1:15">
      <c r="A28" s="51">
        <v>28</v>
      </c>
      <c r="B28" s="70" t="s">
        <v>6</v>
      </c>
      <c r="C28" s="111">
        <f>AVERAGE(C22:C27)</f>
        <v>4.16</v>
      </c>
      <c r="D28" s="111">
        <f>AVERAGE(D22:D27)</f>
        <v>97.288333333333341</v>
      </c>
      <c r="E28" s="111">
        <f>AVERAGE(C22:C27,E22:E27)</f>
        <v>4.1571428571428575</v>
      </c>
      <c r="F28" s="112">
        <f>AVERAGE(D22:D27,F22:F27)</f>
        <v>96.84</v>
      </c>
      <c r="G28" s="111">
        <f>AVERAGE(G22:G27)</f>
        <v>9.8349999999999991</v>
      </c>
      <c r="H28" s="111">
        <f>AVERAGE(H22:H27)</f>
        <v>154.71833333333333</v>
      </c>
      <c r="I28" s="111">
        <f>AVERAGE(G22:G27,I22:I27)</f>
        <v>9.8328571428571419</v>
      </c>
      <c r="J28" s="111">
        <f>AVERAGE(H22:H27,J22:J27)</f>
        <v>153.2571428571429</v>
      </c>
      <c r="K28" s="23">
        <f>AVERAGE(K22:K27)</f>
        <v>0.62904474485921413</v>
      </c>
      <c r="L28" s="23">
        <f>AVERAGE(L22:L27)</f>
        <v>0.62904474485921413</v>
      </c>
      <c r="M28" s="23">
        <f>AVERAGE(K22:K27,M22:M27)</f>
        <v>0.63226723659397788</v>
      </c>
      <c r="N28" s="23">
        <f>AVERAGE(L22:L27,N22:N27)</f>
        <v>0.63226723659397788</v>
      </c>
      <c r="O28" s="3"/>
    </row>
    <row r="29" spans="1:15">
      <c r="A29" s="51">
        <v>29</v>
      </c>
      <c r="B29" s="70" t="s">
        <v>7</v>
      </c>
      <c r="C29" s="24">
        <f>STDEV(C22:C27)</f>
        <v>6.3245553203366243E-3</v>
      </c>
      <c r="D29" s="24">
        <f>STDEV(D22:D27)</f>
        <v>10.59199021273465</v>
      </c>
      <c r="E29" s="24">
        <f>STDEV(C22:C27,E22:E27)</f>
        <v>9.5118973121134827E-3</v>
      </c>
      <c r="F29" s="25">
        <f>STDEV(D22:D27,F22:F27)</f>
        <v>9.7416066436702309</v>
      </c>
      <c r="G29" s="24">
        <f>STDEV(G22:G27)</f>
        <v>8.3666002653405777E-3</v>
      </c>
      <c r="H29" s="24">
        <f>STDEV(H22:H27)</f>
        <v>17.383642215216611</v>
      </c>
      <c r="I29" s="24">
        <f>STDEV(G22:G27,I22:I27)</f>
        <v>9.5118973121132155E-3</v>
      </c>
      <c r="J29" s="24">
        <f>STDEV(H22:H27,J22:J27)</f>
        <v>16.333137802522533</v>
      </c>
      <c r="K29" s="24">
        <f>STDEV(K22:K27)</f>
        <v>9.0003951259144399E-3</v>
      </c>
      <c r="L29" s="24">
        <f>STDEV(L22:L27)</f>
        <v>9.0003951259144399E-3</v>
      </c>
      <c r="M29" s="24">
        <f>STDEV(K22:K27,M22:M27)</f>
        <v>1.1840485542542942E-2</v>
      </c>
      <c r="N29" s="24">
        <f>STDEV(L22:L27,N22:N27)</f>
        <v>1.1840485542542942E-2</v>
      </c>
      <c r="O29" s="3"/>
    </row>
    <row r="30" spans="1:15">
      <c r="A30" s="51">
        <v>30</v>
      </c>
      <c r="B30" s="70" t="s">
        <v>8</v>
      </c>
      <c r="C30" s="26">
        <f t="shared" ref="C30:J30" si="4">ROUND(C29/C28*100,2)</f>
        <v>0.15</v>
      </c>
      <c r="D30" s="26">
        <f t="shared" si="4"/>
        <v>10.89</v>
      </c>
      <c r="E30" s="26">
        <f t="shared" si="4"/>
        <v>0.23</v>
      </c>
      <c r="F30" s="26">
        <f t="shared" si="4"/>
        <v>10.06</v>
      </c>
      <c r="G30" s="26">
        <f t="shared" si="4"/>
        <v>0.09</v>
      </c>
      <c r="H30" s="26">
        <f t="shared" si="4"/>
        <v>11.24</v>
      </c>
      <c r="I30" s="26">
        <f t="shared" si="4"/>
        <v>0.1</v>
      </c>
      <c r="J30" s="26">
        <f t="shared" si="4"/>
        <v>10.66</v>
      </c>
      <c r="K30" s="26">
        <f>ROUND(K29/K28*100,2)</f>
        <v>1.43</v>
      </c>
      <c r="L30" s="26">
        <f>ROUND(L29/L28*100,2)</f>
        <v>1.43</v>
      </c>
      <c r="M30" s="26">
        <f>ROUND(M29/M28*100,2)</f>
        <v>1.87</v>
      </c>
      <c r="N30" s="26">
        <f>ROUND(N29/N28*100,2)</f>
        <v>1.87</v>
      </c>
      <c r="O30" s="3"/>
    </row>
    <row r="31" spans="1:15">
      <c r="A31" s="51">
        <v>31</v>
      </c>
      <c r="B31" s="64"/>
      <c r="C31" s="55"/>
      <c r="D31" s="55"/>
      <c r="E31" s="55"/>
      <c r="F31" s="55"/>
      <c r="H31" s="55"/>
      <c r="K31" s="55"/>
      <c r="M31" s="55"/>
      <c r="N31" s="55"/>
      <c r="O31" s="3"/>
    </row>
    <row r="32" spans="1:15">
      <c r="A32" s="51">
        <v>32</v>
      </c>
      <c r="B32" s="6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3"/>
    </row>
    <row r="33" spans="1:16">
      <c r="A33" s="51">
        <v>33</v>
      </c>
      <c r="B33" s="84" t="s">
        <v>19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  <c r="O33" s="3"/>
    </row>
    <row r="34" spans="1:16">
      <c r="A34" s="51">
        <v>34</v>
      </c>
      <c r="B34" s="71" t="s">
        <v>20</v>
      </c>
      <c r="C34" s="27" t="s">
        <v>29</v>
      </c>
      <c r="D34" s="27" t="s">
        <v>21</v>
      </c>
      <c r="E34" s="28" t="s">
        <v>22</v>
      </c>
      <c r="F34" s="29" t="s">
        <v>23</v>
      </c>
      <c r="G34" s="30" t="s">
        <v>68</v>
      </c>
      <c r="H34" s="30" t="s">
        <v>76</v>
      </c>
      <c r="I34" s="30" t="s">
        <v>42</v>
      </c>
      <c r="J34" s="30" t="s">
        <v>43</v>
      </c>
      <c r="K34" s="31" t="s">
        <v>30</v>
      </c>
      <c r="L34" s="31" t="s">
        <v>36</v>
      </c>
      <c r="M34" s="32" t="s">
        <v>90</v>
      </c>
      <c r="O34" s="3"/>
    </row>
    <row r="35" spans="1:16">
      <c r="A35" s="51">
        <v>35</v>
      </c>
      <c r="B35" s="72">
        <v>1</v>
      </c>
      <c r="C35" s="33" t="s">
        <v>91</v>
      </c>
      <c r="D35" s="34" t="s">
        <v>92</v>
      </c>
      <c r="E35" s="14">
        <v>4019.1</v>
      </c>
      <c r="F35" s="16">
        <v>100</v>
      </c>
      <c r="G35" s="40">
        <v>0</v>
      </c>
      <c r="H35" s="40">
        <v>128.56</v>
      </c>
      <c r="I35" s="36">
        <f>((G35/H35))</f>
        <v>0</v>
      </c>
      <c r="J35" s="36">
        <f>((I35-$J$18))</f>
        <v>0</v>
      </c>
      <c r="K35" s="37">
        <f>ROUND(J35/$L$28*$C$15/$E$15*$C$16/$E$16*$C$17/$E$17*$C$18/$E$18*$F$35/$E$35*100*$C$13/100,4)</f>
        <v>0</v>
      </c>
      <c r="L35" s="37">
        <f>K35*10000</f>
        <v>0</v>
      </c>
      <c r="M35" s="38" t="s">
        <v>93</v>
      </c>
      <c r="O35" s="3"/>
    </row>
    <row r="36" spans="1:16">
      <c r="A36" s="51">
        <v>36</v>
      </c>
      <c r="B36" s="72"/>
      <c r="C36" s="33"/>
      <c r="D36" s="39"/>
      <c r="E36" s="35"/>
      <c r="F36" s="16"/>
      <c r="G36" s="40"/>
      <c r="H36" s="40"/>
      <c r="I36" s="36" t="e">
        <f t="shared" ref="I36:I41" si="5">((G36/H36))</f>
        <v>#DIV/0!</v>
      </c>
      <c r="J36" s="36" t="e">
        <f t="shared" ref="J36:J41" si="6">((I36-$J$18))</f>
        <v>#DIV/0!</v>
      </c>
      <c r="K36" s="37" t="e">
        <f t="shared" ref="K36:K41" si="7">ROUND(J36/$L$28*$C$15/$E$15*$C$16/$E$16*$C$17/$E$17*$C$18/$E$18*$F$35/$E$35*100*$C$13/100,4)</f>
        <v>#DIV/0!</v>
      </c>
      <c r="L36" s="37" t="e">
        <f t="shared" ref="L36:L41" si="8">K36*10000</f>
        <v>#DIV/0!</v>
      </c>
      <c r="M36" s="12"/>
      <c r="O36" s="3"/>
    </row>
    <row r="37" spans="1:16">
      <c r="A37" s="51">
        <v>37</v>
      </c>
      <c r="B37" s="72"/>
      <c r="C37" s="33"/>
      <c r="D37" s="39"/>
      <c r="E37" s="35"/>
      <c r="F37" s="16"/>
      <c r="G37" s="40"/>
      <c r="H37" s="40"/>
      <c r="I37" s="36" t="e">
        <f t="shared" si="5"/>
        <v>#DIV/0!</v>
      </c>
      <c r="J37" s="36" t="e">
        <f t="shared" si="6"/>
        <v>#DIV/0!</v>
      </c>
      <c r="K37" s="37" t="e">
        <f t="shared" si="7"/>
        <v>#DIV/0!</v>
      </c>
      <c r="L37" s="37" t="e">
        <f t="shared" si="8"/>
        <v>#DIV/0!</v>
      </c>
      <c r="M37" s="12"/>
      <c r="O37" s="3"/>
    </row>
    <row r="38" spans="1:16">
      <c r="A38" s="51">
        <v>38</v>
      </c>
      <c r="B38" s="72"/>
      <c r="C38" s="33"/>
      <c r="D38" s="39"/>
      <c r="E38" s="35"/>
      <c r="F38" s="16"/>
      <c r="G38" s="40"/>
      <c r="H38" s="40"/>
      <c r="I38" s="36" t="e">
        <f t="shared" si="5"/>
        <v>#DIV/0!</v>
      </c>
      <c r="J38" s="36" t="e">
        <f t="shared" si="6"/>
        <v>#DIV/0!</v>
      </c>
      <c r="K38" s="37" t="e">
        <f t="shared" si="7"/>
        <v>#DIV/0!</v>
      </c>
      <c r="L38" s="37" t="e">
        <f t="shared" si="8"/>
        <v>#DIV/0!</v>
      </c>
      <c r="M38" s="12"/>
      <c r="O38" s="3"/>
    </row>
    <row r="39" spans="1:16">
      <c r="A39" s="51">
        <v>39</v>
      </c>
      <c r="B39" s="72"/>
      <c r="C39" s="33"/>
      <c r="D39" s="39"/>
      <c r="E39" s="35"/>
      <c r="F39" s="16"/>
      <c r="G39" s="40"/>
      <c r="H39" s="40"/>
      <c r="I39" s="36" t="e">
        <f t="shared" si="5"/>
        <v>#DIV/0!</v>
      </c>
      <c r="J39" s="36" t="e">
        <f t="shared" si="6"/>
        <v>#DIV/0!</v>
      </c>
      <c r="K39" s="37" t="e">
        <f t="shared" si="7"/>
        <v>#DIV/0!</v>
      </c>
      <c r="L39" s="37" t="e">
        <f t="shared" si="8"/>
        <v>#DIV/0!</v>
      </c>
      <c r="M39" s="12"/>
      <c r="O39" s="3"/>
    </row>
    <row r="40" spans="1:16">
      <c r="A40" s="51">
        <v>40</v>
      </c>
      <c r="B40" s="72"/>
      <c r="C40" s="33"/>
      <c r="D40" s="39"/>
      <c r="E40" s="35"/>
      <c r="F40" s="16"/>
      <c r="G40" s="40"/>
      <c r="H40" s="40"/>
      <c r="I40" s="36" t="e">
        <f t="shared" si="5"/>
        <v>#DIV/0!</v>
      </c>
      <c r="J40" s="36" t="e">
        <f t="shared" si="6"/>
        <v>#DIV/0!</v>
      </c>
      <c r="K40" s="37" t="e">
        <f t="shared" si="7"/>
        <v>#DIV/0!</v>
      </c>
      <c r="L40" s="37" t="e">
        <f t="shared" si="8"/>
        <v>#DIV/0!</v>
      </c>
      <c r="M40" s="12"/>
      <c r="O40" s="3"/>
    </row>
    <row r="41" spans="1:16">
      <c r="A41" s="51">
        <v>41</v>
      </c>
      <c r="B41" s="72"/>
      <c r="C41" s="33"/>
      <c r="D41" s="39"/>
      <c r="E41" s="35"/>
      <c r="F41" s="16"/>
      <c r="G41" s="20"/>
      <c r="H41" s="20"/>
      <c r="I41" s="36" t="e">
        <f t="shared" si="5"/>
        <v>#DIV/0!</v>
      </c>
      <c r="J41" s="36" t="e">
        <f t="shared" si="6"/>
        <v>#DIV/0!</v>
      </c>
      <c r="K41" s="37" t="e">
        <f t="shared" si="7"/>
        <v>#DIV/0!</v>
      </c>
      <c r="L41" s="37" t="e">
        <f t="shared" si="8"/>
        <v>#DIV/0!</v>
      </c>
      <c r="M41" s="12"/>
      <c r="O41" s="3"/>
    </row>
    <row r="42" spans="1:16" ht="18.5" thickBot="1">
      <c r="A42" s="51">
        <v>42</v>
      </c>
      <c r="B42" s="6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3"/>
    </row>
    <row r="43" spans="1:16" s="7" customFormat="1">
      <c r="A43" s="51">
        <v>43</v>
      </c>
      <c r="B43" s="73"/>
      <c r="C43" s="42"/>
      <c r="D43" s="43"/>
      <c r="E43" s="44"/>
      <c r="F43" s="44"/>
      <c r="G43" s="44"/>
      <c r="H43" s="42"/>
      <c r="I43" s="42"/>
      <c r="J43" s="42"/>
      <c r="K43" s="45"/>
      <c r="L43" s="41"/>
      <c r="M43" s="41"/>
      <c r="N43" s="41"/>
      <c r="O43" s="46"/>
      <c r="P43" s="6"/>
    </row>
    <row r="44" spans="1:16" s="7" customFormat="1">
      <c r="A44" s="51">
        <v>44</v>
      </c>
      <c r="B44" s="74"/>
      <c r="C44" s="75" t="s">
        <v>9</v>
      </c>
      <c r="D44" s="76"/>
      <c r="E44" s="77"/>
      <c r="F44" s="77"/>
      <c r="G44" s="77"/>
      <c r="H44" s="75"/>
      <c r="I44" s="75"/>
      <c r="J44" s="75"/>
      <c r="K44" s="78" t="s">
        <v>10</v>
      </c>
      <c r="L44" s="79"/>
      <c r="M44" s="79"/>
      <c r="N44" s="79"/>
      <c r="O44" s="47"/>
      <c r="P44" s="6"/>
    </row>
    <row r="45" spans="1:16" s="7" customFormat="1">
      <c r="A45" s="51">
        <v>45</v>
      </c>
      <c r="B45" s="74"/>
      <c r="C45" s="75" t="s">
        <v>11</v>
      </c>
      <c r="D45" s="79"/>
      <c r="E45" s="79"/>
      <c r="F45" s="79"/>
      <c r="G45" s="79"/>
      <c r="H45" s="80"/>
      <c r="I45" s="79"/>
      <c r="J45" s="79"/>
      <c r="K45" s="75" t="s">
        <v>12</v>
      </c>
      <c r="L45" s="79"/>
      <c r="M45" s="79"/>
      <c r="N45" s="79"/>
      <c r="O45" s="47"/>
      <c r="P45" s="6"/>
    </row>
    <row r="46" spans="1:16" s="7" customFormat="1" ht="18.5" thickBot="1">
      <c r="A46" s="52">
        <v>46</v>
      </c>
      <c r="B46" s="81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9"/>
      <c r="P46" s="6"/>
    </row>
    <row r="47" spans="1:16">
      <c r="P47" s="6"/>
    </row>
  </sheetData>
  <sheetProtection algorithmName="SHA-512" hashValue="XNmfyb4+zoXHMimwtH6kgpQcNMdvOHMQH8Zw9JFyC+HgIvRBgO6O3P2jILgvID6MhRF5X/FOXqmLteeAATWSVw==" saltValue="5U6nVfK8dlxmONTRlkQkRw==" spinCount="100000" sheet="1" objects="1" scenarios="1" formatCells="0" formatColumns="0" formatRows="0"/>
  <mergeCells count="20">
    <mergeCell ref="C8:D8"/>
    <mergeCell ref="C11:D11"/>
    <mergeCell ref="C12:D12"/>
    <mergeCell ref="C9:D9"/>
    <mergeCell ref="C13:D13"/>
    <mergeCell ref="C7:D7"/>
    <mergeCell ref="B4:O4"/>
    <mergeCell ref="B2:B3"/>
    <mergeCell ref="C2:O3"/>
    <mergeCell ref="B5:O5"/>
    <mergeCell ref="K20:K21"/>
    <mergeCell ref="L20:L21"/>
    <mergeCell ref="M20:M21"/>
    <mergeCell ref="N20:N21"/>
    <mergeCell ref="B33:L33"/>
    <mergeCell ref="B20:B21"/>
    <mergeCell ref="C20:D20"/>
    <mergeCell ref="E20:F20"/>
    <mergeCell ref="G20:H20"/>
    <mergeCell ref="I20:J20"/>
  </mergeCells>
  <printOptions horizontalCentered="1" verticalCentered="1"/>
  <pageMargins left="0.17" right="0.15748031496062992" top="0.35" bottom="0.35" header="0.15748031496062992" footer="0.15748031496062992"/>
  <pageSetup paperSize="9" scale="37" orientation="landscape" r:id="rId1"/>
  <headerFooter>
    <oddHeader>&amp;L&amp;"Times New Roman,Regular"&amp;26&amp;Z&amp;F</oddHeader>
    <oddFooter>&amp;C&amp;"Times New Roman,Regular"&amp;26&amp;P&amp;R&amp;"Times New Roman,Regular"&amp;26&amp;T&amp;D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DE35-2AB6-47F6-8C0A-BF4193F3D57F}">
  <sheetPr>
    <pageSetUpPr fitToPage="1"/>
  </sheetPr>
  <dimension ref="A1:P47"/>
  <sheetViews>
    <sheetView tabSelected="1" topLeftCell="G29" zoomScale="60" zoomScaleNormal="60" workbookViewId="0">
      <selection activeCell="N8" sqref="N8:N10"/>
    </sheetView>
  </sheetViews>
  <sheetFormatPr defaultColWidth="28.453125" defaultRowHeight="18"/>
  <cols>
    <col min="1" max="1" width="5.453125" style="8" hidden="1" customWidth="1"/>
    <col min="2" max="2" width="23.453125" style="5" bestFit="1" customWidth="1"/>
    <col min="3" max="3" width="19.54296875" style="5" bestFit="1" customWidth="1"/>
    <col min="4" max="4" width="33" style="5" bestFit="1" customWidth="1"/>
    <col min="5" max="5" width="27.7265625" style="5" bestFit="1" customWidth="1"/>
    <col min="6" max="6" width="19.26953125" style="5" bestFit="1" customWidth="1"/>
    <col min="7" max="7" width="37.453125" style="5" bestFit="1" customWidth="1"/>
    <col min="8" max="8" width="33.1796875" style="5" bestFit="1" customWidth="1"/>
    <col min="9" max="10" width="32.81640625" style="5" bestFit="1" customWidth="1"/>
    <col min="11" max="11" width="29.7265625" style="5" bestFit="1" customWidth="1"/>
    <col min="12" max="12" width="39.81640625" style="5" bestFit="1" customWidth="1"/>
    <col min="13" max="13" width="35" style="5" bestFit="1" customWidth="1"/>
    <col min="14" max="14" width="39.81640625" style="5" bestFit="1" customWidth="1"/>
    <col min="15" max="15" width="3.26953125" style="5" bestFit="1" customWidth="1"/>
    <col min="16" max="16384" width="28.453125" style="5"/>
  </cols>
  <sheetData>
    <row r="1" spans="1:15" s="4" customFormat="1" ht="18.5" hidden="1" thickBot="1">
      <c r="A1" s="2" t="s">
        <v>47</v>
      </c>
      <c r="B1" s="53" t="s">
        <v>61</v>
      </c>
      <c r="C1" s="53" t="s">
        <v>48</v>
      </c>
      <c r="D1" s="53" t="s">
        <v>49</v>
      </c>
      <c r="E1" s="53" t="s">
        <v>50</v>
      </c>
      <c r="F1" s="53" t="s">
        <v>51</v>
      </c>
      <c r="G1" s="53" t="s">
        <v>52</v>
      </c>
      <c r="H1" s="53" t="s">
        <v>53</v>
      </c>
      <c r="I1" s="53" t="s">
        <v>54</v>
      </c>
      <c r="J1" s="53" t="s">
        <v>55</v>
      </c>
      <c r="K1" s="53" t="s">
        <v>56</v>
      </c>
      <c r="L1" s="53" t="s">
        <v>57</v>
      </c>
      <c r="M1" s="53" t="s">
        <v>58</v>
      </c>
      <c r="N1" s="53" t="s">
        <v>59</v>
      </c>
      <c r="O1" s="1" t="s">
        <v>60</v>
      </c>
    </row>
    <row r="2" spans="1:15" ht="31.5" customHeight="1">
      <c r="A2" s="50">
        <v>2</v>
      </c>
      <c r="B2" s="95"/>
      <c r="C2" s="97" t="s">
        <v>62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</row>
    <row r="3" spans="1:15" ht="28.5" customHeight="1" thickBot="1">
      <c r="A3" s="51">
        <v>3</v>
      </c>
      <c r="B3" s="96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2"/>
    </row>
    <row r="4" spans="1:15" ht="18.5" thickBot="1">
      <c r="A4" s="51">
        <v>4</v>
      </c>
      <c r="B4" s="92" t="s">
        <v>28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4"/>
    </row>
    <row r="5" spans="1:15" ht="18.5" thickBot="1">
      <c r="A5" s="51">
        <v>5</v>
      </c>
      <c r="B5" s="103" t="s">
        <v>46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</row>
    <row r="6" spans="1:15">
      <c r="A6" s="51">
        <v>6</v>
      </c>
      <c r="B6" s="54"/>
      <c r="C6" s="55"/>
      <c r="D6" s="55"/>
      <c r="E6" s="56"/>
      <c r="F6" s="56"/>
      <c r="G6" s="56"/>
      <c r="H6" s="56"/>
      <c r="I6" s="57"/>
      <c r="J6" s="57"/>
      <c r="K6" s="55"/>
      <c r="L6" s="55"/>
      <c r="M6" s="55"/>
      <c r="N6" s="55"/>
      <c r="O6" s="3"/>
    </row>
    <row r="7" spans="1:15">
      <c r="A7" s="51">
        <v>7</v>
      </c>
      <c r="B7" s="58" t="s">
        <v>0</v>
      </c>
      <c r="C7" s="91" t="s">
        <v>94</v>
      </c>
      <c r="D7" s="91"/>
      <c r="E7" s="56"/>
      <c r="F7" s="59"/>
      <c r="G7" s="59"/>
      <c r="H7" s="59"/>
      <c r="I7" s="59"/>
      <c r="J7" s="57"/>
      <c r="K7" s="55"/>
      <c r="L7" s="55"/>
      <c r="M7" s="55"/>
      <c r="N7" s="55"/>
      <c r="O7" s="3"/>
    </row>
    <row r="8" spans="1:15">
      <c r="A8" s="51">
        <v>8</v>
      </c>
      <c r="B8" s="58" t="s">
        <v>1</v>
      </c>
      <c r="C8" s="91" t="s">
        <v>37</v>
      </c>
      <c r="D8" s="91"/>
      <c r="E8" s="56"/>
      <c r="J8" s="55"/>
      <c r="M8" s="9" t="s">
        <v>2</v>
      </c>
      <c r="N8" s="10">
        <v>46314</v>
      </c>
      <c r="O8" s="3"/>
    </row>
    <row r="9" spans="1:15">
      <c r="A9" s="51">
        <v>9</v>
      </c>
      <c r="B9" s="60" t="s">
        <v>14</v>
      </c>
      <c r="C9" s="108" t="s">
        <v>95</v>
      </c>
      <c r="D9" s="108"/>
      <c r="E9" s="57"/>
      <c r="F9" s="59"/>
      <c r="G9" s="59"/>
      <c r="H9" s="59"/>
      <c r="I9" s="59"/>
      <c r="J9" s="55"/>
      <c r="M9" s="11" t="s">
        <v>3</v>
      </c>
      <c r="N9" s="12" t="s">
        <v>96</v>
      </c>
      <c r="O9" s="3"/>
    </row>
    <row r="10" spans="1:15">
      <c r="A10" s="51">
        <v>10</v>
      </c>
      <c r="B10" s="61"/>
      <c r="C10" s="57"/>
      <c r="D10" s="57"/>
      <c r="E10" s="57"/>
      <c r="F10" s="59"/>
      <c r="G10" s="59"/>
      <c r="H10" s="59"/>
      <c r="I10" s="59"/>
      <c r="J10" s="55"/>
      <c r="M10" s="11" t="s">
        <v>13</v>
      </c>
      <c r="N10" s="13" t="s">
        <v>97</v>
      </c>
      <c r="O10" s="3"/>
    </row>
    <row r="11" spans="1:15">
      <c r="A11" s="51">
        <v>11</v>
      </c>
      <c r="B11" s="62" t="s">
        <v>15</v>
      </c>
      <c r="C11" s="106" t="s">
        <v>39</v>
      </c>
      <c r="D11" s="107"/>
      <c r="E11" s="55"/>
      <c r="F11" s="59"/>
      <c r="G11" s="59"/>
      <c r="H11" s="59"/>
      <c r="I11" s="59"/>
      <c r="J11" s="56"/>
      <c r="K11" s="55"/>
      <c r="L11" s="55"/>
      <c r="M11" s="55"/>
      <c r="N11" s="55"/>
      <c r="O11" s="3"/>
    </row>
    <row r="12" spans="1:15">
      <c r="A12" s="51">
        <v>12</v>
      </c>
      <c r="B12" s="62" t="s">
        <v>16</v>
      </c>
      <c r="C12" s="106" t="s">
        <v>45</v>
      </c>
      <c r="D12" s="107"/>
      <c r="E12" s="55"/>
      <c r="F12" s="59"/>
      <c r="G12" s="59"/>
      <c r="H12" s="59"/>
      <c r="I12" s="59"/>
      <c r="J12" s="57"/>
      <c r="K12" s="55"/>
      <c r="L12" s="55"/>
      <c r="M12" s="55"/>
      <c r="N12" s="55"/>
      <c r="O12" s="3"/>
    </row>
    <row r="13" spans="1:15">
      <c r="A13" s="51">
        <v>13</v>
      </c>
      <c r="B13" s="63" t="s">
        <v>17</v>
      </c>
      <c r="C13" s="109">
        <v>99.9</v>
      </c>
      <c r="D13" s="110"/>
      <c r="E13" s="55"/>
      <c r="F13" s="59"/>
      <c r="G13" s="59"/>
      <c r="H13" s="59"/>
      <c r="I13" s="59"/>
      <c r="J13" s="55"/>
      <c r="K13" s="55"/>
      <c r="L13" s="55"/>
      <c r="M13" s="55"/>
      <c r="N13" s="3"/>
      <c r="O13" s="3"/>
    </row>
    <row r="14" spans="1:15">
      <c r="A14" s="51">
        <v>14</v>
      </c>
      <c r="B14" s="64"/>
      <c r="C14" s="55"/>
      <c r="D14" s="55"/>
      <c r="E14" s="55"/>
      <c r="F14" s="55"/>
      <c r="G14" s="65"/>
      <c r="I14" s="55"/>
      <c r="J14" s="55"/>
      <c r="K14" s="59"/>
      <c r="L14" s="55"/>
      <c r="M14" s="66"/>
      <c r="N14" s="66"/>
      <c r="O14" s="3"/>
    </row>
    <row r="15" spans="1:15" ht="35">
      <c r="A15" s="51">
        <v>15</v>
      </c>
      <c r="B15" s="67" t="s">
        <v>24</v>
      </c>
      <c r="C15" s="14">
        <v>200</v>
      </c>
      <c r="D15" s="15" t="s">
        <v>26</v>
      </c>
      <c r="E15" s="16">
        <v>100</v>
      </c>
      <c r="F15" s="15" t="s">
        <v>65</v>
      </c>
      <c r="G15" s="65"/>
      <c r="H15" s="17" t="s">
        <v>31</v>
      </c>
      <c r="I15" s="17" t="s">
        <v>32</v>
      </c>
      <c r="J15" s="17" t="s">
        <v>33</v>
      </c>
      <c r="K15" s="57"/>
      <c r="L15" s="57"/>
      <c r="M15" s="66"/>
      <c r="N15" s="66"/>
      <c r="O15" s="3"/>
    </row>
    <row r="16" spans="1:15">
      <c r="A16" s="51">
        <v>16</v>
      </c>
      <c r="B16" s="67"/>
      <c r="C16" s="14">
        <v>1</v>
      </c>
      <c r="D16" s="15" t="s">
        <v>38</v>
      </c>
      <c r="E16" s="16">
        <v>1</v>
      </c>
      <c r="F16" s="15" t="s">
        <v>38</v>
      </c>
      <c r="G16" s="57"/>
      <c r="H16" s="17" t="s">
        <v>44</v>
      </c>
      <c r="I16" s="17">
        <v>0</v>
      </c>
      <c r="J16" s="17">
        <v>0</v>
      </c>
      <c r="K16" s="57"/>
      <c r="L16" s="57"/>
      <c r="M16" s="55"/>
      <c r="N16" s="55"/>
      <c r="O16" s="3"/>
    </row>
    <row r="17" spans="1:15">
      <c r="A17" s="51">
        <v>17</v>
      </c>
      <c r="B17" s="67" t="s">
        <v>38</v>
      </c>
      <c r="C17" s="14">
        <v>1</v>
      </c>
      <c r="D17" s="15" t="s">
        <v>38</v>
      </c>
      <c r="E17" s="16">
        <v>1</v>
      </c>
      <c r="F17" s="15" t="s">
        <v>38</v>
      </c>
      <c r="G17" s="55"/>
      <c r="H17" s="17" t="s">
        <v>71</v>
      </c>
      <c r="I17" s="17">
        <v>1</v>
      </c>
      <c r="J17" s="17">
        <v>1</v>
      </c>
      <c r="K17" s="57"/>
      <c r="L17" s="57"/>
      <c r="M17" s="55"/>
      <c r="N17" s="55"/>
      <c r="O17" s="3"/>
    </row>
    <row r="18" spans="1:15" ht="35">
      <c r="A18" s="51">
        <v>18</v>
      </c>
      <c r="B18" s="67" t="s">
        <v>25</v>
      </c>
      <c r="C18" s="14">
        <v>2</v>
      </c>
      <c r="D18" s="15" t="s">
        <v>27</v>
      </c>
      <c r="E18" s="16">
        <v>100</v>
      </c>
      <c r="F18" s="15" t="s">
        <v>65</v>
      </c>
      <c r="G18" s="55"/>
      <c r="H18" s="17" t="s">
        <v>73</v>
      </c>
      <c r="I18" s="9">
        <f>I16/I17</f>
        <v>0</v>
      </c>
      <c r="J18" s="9">
        <f>J16/J17</f>
        <v>0</v>
      </c>
      <c r="K18" s="55"/>
      <c r="L18" s="68"/>
      <c r="M18" s="55"/>
      <c r="N18" s="55"/>
      <c r="O18" s="3"/>
    </row>
    <row r="19" spans="1:15">
      <c r="A19" s="51">
        <v>19</v>
      </c>
      <c r="B19" s="6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3"/>
    </row>
    <row r="20" spans="1:15" ht="38.25" customHeight="1">
      <c r="A20" s="51">
        <v>20</v>
      </c>
      <c r="B20" s="87" t="s">
        <v>18</v>
      </c>
      <c r="C20" s="89" t="s">
        <v>39</v>
      </c>
      <c r="D20" s="90"/>
      <c r="E20" s="89" t="s">
        <v>40</v>
      </c>
      <c r="F20" s="90"/>
      <c r="G20" s="89" t="s">
        <v>75</v>
      </c>
      <c r="H20" s="90"/>
      <c r="I20" s="89" t="s">
        <v>74</v>
      </c>
      <c r="J20" s="90"/>
      <c r="K20" s="82" t="s">
        <v>88</v>
      </c>
      <c r="L20" s="82" t="s">
        <v>77</v>
      </c>
      <c r="M20" s="82" t="s">
        <v>78</v>
      </c>
      <c r="N20" s="82" t="s">
        <v>79</v>
      </c>
      <c r="O20" s="3"/>
    </row>
    <row r="21" spans="1:15" ht="38.25" customHeight="1">
      <c r="A21" s="51">
        <v>21</v>
      </c>
      <c r="B21" s="88"/>
      <c r="C21" s="18" t="s">
        <v>4</v>
      </c>
      <c r="D21" s="19" t="s">
        <v>5</v>
      </c>
      <c r="E21" s="18" t="s">
        <v>34</v>
      </c>
      <c r="F21" s="19" t="s">
        <v>35</v>
      </c>
      <c r="G21" s="18" t="s">
        <v>4</v>
      </c>
      <c r="H21" s="19" t="s">
        <v>5</v>
      </c>
      <c r="I21" s="18" t="s">
        <v>34</v>
      </c>
      <c r="J21" s="19" t="s">
        <v>35</v>
      </c>
      <c r="K21" s="83"/>
      <c r="L21" s="83"/>
      <c r="M21" s="83"/>
      <c r="N21" s="83"/>
      <c r="O21" s="3"/>
    </row>
    <row r="22" spans="1:15">
      <c r="A22" s="51">
        <v>22</v>
      </c>
      <c r="B22" s="69">
        <v>1</v>
      </c>
      <c r="C22" s="40">
        <v>12.63</v>
      </c>
      <c r="D22" s="40">
        <v>89.87</v>
      </c>
      <c r="E22" s="113">
        <v>12.61</v>
      </c>
      <c r="F22" s="40">
        <v>100.77</v>
      </c>
      <c r="G22" s="40">
        <v>9.84</v>
      </c>
      <c r="H22" s="40">
        <v>143.13</v>
      </c>
      <c r="I22" s="113">
        <v>9.82</v>
      </c>
      <c r="J22" s="40">
        <v>144.49</v>
      </c>
      <c r="K22" s="21">
        <f t="shared" ref="K22:K27" si="0">(D22/H22)</f>
        <v>0.62789072870816742</v>
      </c>
      <c r="L22" s="21">
        <f>K22-$I$18</f>
        <v>0.62789072870816742</v>
      </c>
      <c r="M22" s="22">
        <f t="shared" ref="M22:M27" si="1">IF(F22="","",(F22/J22))</f>
        <v>0.69741850647103598</v>
      </c>
      <c r="N22" s="22">
        <f>IF(M22="","",(M22-$I$18))</f>
        <v>0.69741850647103598</v>
      </c>
      <c r="O22" s="3"/>
    </row>
    <row r="23" spans="1:15">
      <c r="A23" s="51">
        <v>23</v>
      </c>
      <c r="B23" s="69">
        <v>2</v>
      </c>
      <c r="C23" s="40">
        <v>12.64</v>
      </c>
      <c r="D23" s="40">
        <v>119.77</v>
      </c>
      <c r="E23" s="40"/>
      <c r="F23" s="40"/>
      <c r="G23" s="40">
        <v>9.84</v>
      </c>
      <c r="H23" s="40">
        <v>183.93</v>
      </c>
      <c r="I23" s="40"/>
      <c r="J23" s="40"/>
      <c r="K23" s="21">
        <f t="shared" si="0"/>
        <v>0.65117164138530959</v>
      </c>
      <c r="L23" s="21">
        <f t="shared" ref="L23:L27" si="2">K23-$I$18</f>
        <v>0.65117164138530959</v>
      </c>
      <c r="M23" s="22" t="str">
        <f t="shared" si="1"/>
        <v/>
      </c>
      <c r="N23" s="22" t="str">
        <f>IF(M23="","",(M23-$I$18))</f>
        <v/>
      </c>
      <c r="O23" s="3"/>
    </row>
    <row r="24" spans="1:15">
      <c r="A24" s="51">
        <v>24</v>
      </c>
      <c r="B24" s="69">
        <v>3</v>
      </c>
      <c r="C24" s="40">
        <v>12.63</v>
      </c>
      <c r="D24" s="40">
        <v>93.66</v>
      </c>
      <c r="E24" s="40"/>
      <c r="F24" s="40"/>
      <c r="G24" s="40">
        <v>9.84</v>
      </c>
      <c r="H24" s="40">
        <v>143.66999999999999</v>
      </c>
      <c r="I24" s="114"/>
      <c r="J24" s="40"/>
      <c r="K24" s="21">
        <f t="shared" si="0"/>
        <v>0.65191062852370019</v>
      </c>
      <c r="L24" s="21">
        <f t="shared" si="2"/>
        <v>0.65191062852370019</v>
      </c>
      <c r="M24" s="22" t="str">
        <f t="shared" si="1"/>
        <v/>
      </c>
      <c r="N24" s="22" t="str">
        <f>IF(M24="","",(M24-$I$18))</f>
        <v/>
      </c>
      <c r="O24" s="3"/>
    </row>
    <row r="25" spans="1:15">
      <c r="A25" s="51">
        <v>25</v>
      </c>
      <c r="B25" s="69">
        <v>4</v>
      </c>
      <c r="C25" s="40">
        <v>12.63</v>
      </c>
      <c r="D25" s="40">
        <v>93.1</v>
      </c>
      <c r="E25" s="40"/>
      <c r="F25" s="40"/>
      <c r="G25" s="40">
        <v>9.84</v>
      </c>
      <c r="H25" s="40">
        <v>143.1</v>
      </c>
      <c r="I25" s="40"/>
      <c r="J25" s="40"/>
      <c r="K25" s="21">
        <f t="shared" si="0"/>
        <v>0.65059399021663167</v>
      </c>
      <c r="L25" s="21">
        <f t="shared" si="2"/>
        <v>0.65059399021663167</v>
      </c>
      <c r="M25" s="22" t="str">
        <f t="shared" si="1"/>
        <v/>
      </c>
      <c r="N25" s="22" t="str">
        <f>IF(M25="","",(M25-$I$18))</f>
        <v/>
      </c>
      <c r="O25" s="3"/>
    </row>
    <row r="26" spans="1:15">
      <c r="A26" s="51">
        <v>26</v>
      </c>
      <c r="B26" s="69">
        <v>5</v>
      </c>
      <c r="C26" s="40">
        <v>12.63</v>
      </c>
      <c r="D26" s="40">
        <v>94.97</v>
      </c>
      <c r="E26" s="40"/>
      <c r="F26" s="40"/>
      <c r="G26" s="40">
        <v>9.83</v>
      </c>
      <c r="H26" s="40">
        <v>145.97999999999999</v>
      </c>
      <c r="I26" s="40"/>
      <c r="J26" s="40"/>
      <c r="K26" s="21">
        <f t="shared" si="0"/>
        <v>0.6505685710371284</v>
      </c>
      <c r="L26" s="21">
        <f t="shared" si="2"/>
        <v>0.6505685710371284</v>
      </c>
      <c r="M26" s="22" t="str">
        <f t="shared" si="1"/>
        <v/>
      </c>
      <c r="N26" s="22" t="str">
        <f>IF(M26="","",(M26-$I$18))</f>
        <v/>
      </c>
      <c r="O26" s="3"/>
    </row>
    <row r="27" spans="1:15">
      <c r="A27" s="51">
        <v>27</v>
      </c>
      <c r="B27" s="69">
        <v>6</v>
      </c>
      <c r="C27" s="40">
        <v>12.62</v>
      </c>
      <c r="D27" s="40">
        <v>112.85</v>
      </c>
      <c r="E27" s="40"/>
      <c r="F27" s="40"/>
      <c r="G27" s="40">
        <v>9.82</v>
      </c>
      <c r="H27" s="40">
        <v>168.5</v>
      </c>
      <c r="I27" s="40"/>
      <c r="J27" s="40"/>
      <c r="K27" s="21">
        <f t="shared" si="0"/>
        <v>0.66973293768545994</v>
      </c>
      <c r="L27" s="21">
        <f t="shared" si="2"/>
        <v>0.66973293768545994</v>
      </c>
      <c r="M27" s="22" t="str">
        <f t="shared" si="1"/>
        <v/>
      </c>
      <c r="N27" s="22" t="str">
        <f t="shared" ref="N27" si="3">IF(M27="","",(M27-$I$18))</f>
        <v/>
      </c>
      <c r="O27" s="3"/>
    </row>
    <row r="28" spans="1:15">
      <c r="A28" s="51">
        <v>28</v>
      </c>
      <c r="B28" s="70" t="s">
        <v>6</v>
      </c>
      <c r="C28" s="111">
        <f>AVERAGE(C22:C27)</f>
        <v>12.630000000000003</v>
      </c>
      <c r="D28" s="111">
        <f>AVERAGE(D22:D27)</f>
        <v>100.70333333333333</v>
      </c>
      <c r="E28" s="111">
        <f>AVERAGE(C22:C27,E22:E27)</f>
        <v>12.627142857142859</v>
      </c>
      <c r="F28" s="112">
        <f>AVERAGE(D22:D27,F22:F27)</f>
        <v>100.71285714285715</v>
      </c>
      <c r="G28" s="111">
        <f>AVERAGE(G22:G27)</f>
        <v>9.8349999999999991</v>
      </c>
      <c r="H28" s="111">
        <f>AVERAGE(H22:H27)</f>
        <v>154.71833333333333</v>
      </c>
      <c r="I28" s="111">
        <f>AVERAGE(G22:G27,I22:I27)</f>
        <v>9.8328571428571419</v>
      </c>
      <c r="J28" s="111">
        <f>AVERAGE(H22:H27,J22:J27)</f>
        <v>153.2571428571429</v>
      </c>
      <c r="K28" s="23">
        <f>AVERAGE(K22:K27)</f>
        <v>0.65031141625939959</v>
      </c>
      <c r="L28" s="23">
        <f>AVERAGE(L22:L27)</f>
        <v>0.65031141625939959</v>
      </c>
      <c r="M28" s="23">
        <f>AVERAGE(K22:K27,M22:M27)</f>
        <v>0.65704100057534753</v>
      </c>
      <c r="N28" s="23">
        <f>AVERAGE(L22:L27,N22:N27)</f>
        <v>0.65704100057534753</v>
      </c>
      <c r="O28" s="3"/>
    </row>
    <row r="29" spans="1:15">
      <c r="A29" s="51">
        <v>29</v>
      </c>
      <c r="B29" s="70" t="s">
        <v>7</v>
      </c>
      <c r="C29" s="24">
        <f>STDEV(C22:C27)</f>
        <v>6.3245553203371855E-3</v>
      </c>
      <c r="D29" s="24">
        <f>STDEV(D22:D27)</f>
        <v>12.3994413852667</v>
      </c>
      <c r="E29" s="24">
        <f>STDEV(C22:C27,E22:E27)</f>
        <v>9.5118973121139719E-3</v>
      </c>
      <c r="F29" s="25">
        <f>STDEV(D22:D27,F22:F27)</f>
        <v>11.319117625041439</v>
      </c>
      <c r="G29" s="24">
        <f>STDEV(G22:G27)</f>
        <v>8.3666002653405777E-3</v>
      </c>
      <c r="H29" s="24">
        <f>STDEV(H22:H27)</f>
        <v>17.383642215216611</v>
      </c>
      <c r="I29" s="24">
        <f>STDEV(G22:G27,I22:I27)</f>
        <v>9.5118973121132155E-3</v>
      </c>
      <c r="J29" s="24">
        <f>STDEV(H22:H27,J22:J27)</f>
        <v>16.333137802522533</v>
      </c>
      <c r="K29" s="24">
        <f>STDEV(K22:K27)</f>
        <v>1.329154745338141E-2</v>
      </c>
      <c r="L29" s="24">
        <f>STDEV(L22:L27)</f>
        <v>1.329154745338141E-2</v>
      </c>
      <c r="M29" s="24">
        <f>STDEV(K22:K27,M22:M27)</f>
        <v>2.1546047515637004E-2</v>
      </c>
      <c r="N29" s="24">
        <f>STDEV(L22:L27,N22:N27)</f>
        <v>2.1546047515637004E-2</v>
      </c>
      <c r="O29" s="3"/>
    </row>
    <row r="30" spans="1:15">
      <c r="A30" s="51">
        <v>30</v>
      </c>
      <c r="B30" s="70" t="s">
        <v>8</v>
      </c>
      <c r="C30" s="26">
        <f t="shared" ref="C30:J30" si="4">ROUND(C29/C28*100,2)</f>
        <v>0.05</v>
      </c>
      <c r="D30" s="26">
        <f t="shared" si="4"/>
        <v>12.31</v>
      </c>
      <c r="E30" s="26">
        <f t="shared" si="4"/>
        <v>0.08</v>
      </c>
      <c r="F30" s="26">
        <f t="shared" si="4"/>
        <v>11.24</v>
      </c>
      <c r="G30" s="26">
        <f t="shared" si="4"/>
        <v>0.09</v>
      </c>
      <c r="H30" s="26">
        <f t="shared" si="4"/>
        <v>11.24</v>
      </c>
      <c r="I30" s="26">
        <f t="shared" si="4"/>
        <v>0.1</v>
      </c>
      <c r="J30" s="26">
        <f t="shared" si="4"/>
        <v>10.66</v>
      </c>
      <c r="K30" s="26">
        <f>ROUND(K29/K28*100,2)</f>
        <v>2.04</v>
      </c>
      <c r="L30" s="26">
        <f>ROUND(L29/L28*100,2)</f>
        <v>2.04</v>
      </c>
      <c r="M30" s="26">
        <f>ROUND(M29/M28*100,2)</f>
        <v>3.28</v>
      </c>
      <c r="N30" s="26">
        <f>ROUND(N29/N28*100,2)</f>
        <v>3.28</v>
      </c>
      <c r="O30" s="3"/>
    </row>
    <row r="31" spans="1:15">
      <c r="A31" s="51">
        <v>31</v>
      </c>
      <c r="B31" s="64"/>
      <c r="C31" s="55"/>
      <c r="D31" s="55"/>
      <c r="E31" s="55"/>
      <c r="F31" s="55"/>
      <c r="H31" s="55"/>
      <c r="K31" s="55"/>
      <c r="M31" s="55"/>
      <c r="N31" s="55"/>
      <c r="O31" s="3"/>
    </row>
    <row r="32" spans="1:15">
      <c r="A32" s="51">
        <v>32</v>
      </c>
      <c r="B32" s="6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3"/>
    </row>
    <row r="33" spans="1:16">
      <c r="A33" s="51">
        <v>33</v>
      </c>
      <c r="B33" s="84" t="s">
        <v>19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  <c r="O33" s="3"/>
    </row>
    <row r="34" spans="1:16">
      <c r="A34" s="51">
        <v>34</v>
      </c>
      <c r="B34" s="71" t="s">
        <v>20</v>
      </c>
      <c r="C34" s="27" t="s">
        <v>29</v>
      </c>
      <c r="D34" s="27" t="s">
        <v>21</v>
      </c>
      <c r="E34" s="28" t="s">
        <v>22</v>
      </c>
      <c r="F34" s="29" t="s">
        <v>23</v>
      </c>
      <c r="G34" s="30" t="s">
        <v>41</v>
      </c>
      <c r="H34" s="30" t="s">
        <v>76</v>
      </c>
      <c r="I34" s="30" t="s">
        <v>42</v>
      </c>
      <c r="J34" s="30" t="s">
        <v>43</v>
      </c>
      <c r="K34" s="31" t="s">
        <v>30</v>
      </c>
      <c r="L34" s="31" t="s">
        <v>36</v>
      </c>
      <c r="M34" s="32" t="s">
        <v>90</v>
      </c>
      <c r="O34" s="3"/>
    </row>
    <row r="35" spans="1:16">
      <c r="A35" s="51">
        <v>35</v>
      </c>
      <c r="B35" s="72">
        <v>1</v>
      </c>
      <c r="C35" s="33" t="s">
        <v>91</v>
      </c>
      <c r="D35" s="34" t="s">
        <v>92</v>
      </c>
      <c r="E35" s="35">
        <v>4019.1</v>
      </c>
      <c r="F35" s="16">
        <v>100</v>
      </c>
      <c r="G35" s="40">
        <v>11.11</v>
      </c>
      <c r="H35" s="40">
        <v>128.56</v>
      </c>
      <c r="I35" s="36">
        <f>((G35/H35))</f>
        <v>8.6418792781580572E-2</v>
      </c>
      <c r="J35" s="36">
        <f>((I35-$J$18))</f>
        <v>8.6418792781580572E-2</v>
      </c>
      <c r="K35" s="37">
        <f>ROUND(J35/$L$28*$C$15/$E$15*$C$16/$E$16*$C$17/$E$17*$C$18/$E$18*$F$35/$E$35*100*$C$13/100,4)</f>
        <v>1.32E-2</v>
      </c>
      <c r="L35" s="37">
        <f>K35*10000</f>
        <v>132</v>
      </c>
      <c r="M35" s="38">
        <v>132</v>
      </c>
      <c r="O35" s="3"/>
    </row>
    <row r="36" spans="1:16">
      <c r="A36" s="51">
        <v>36</v>
      </c>
      <c r="B36" s="72">
        <v>2</v>
      </c>
      <c r="C36" s="33"/>
      <c r="D36" s="39"/>
      <c r="E36" s="35"/>
      <c r="F36" s="16"/>
      <c r="G36" s="40"/>
      <c r="H36" s="40"/>
      <c r="I36" s="36" t="e">
        <f t="shared" ref="I36:I41" si="5">((G36/H36))</f>
        <v>#DIV/0!</v>
      </c>
      <c r="J36" s="36" t="e">
        <f t="shared" ref="J36:J41" si="6">((I36-$J$18))</f>
        <v>#DIV/0!</v>
      </c>
      <c r="K36" s="37" t="e">
        <f t="shared" ref="K36:K41" si="7">ROUND(J36/$L$28*$C$15/$E$15*$C$16/$E$16*$C$17/$E$17*$C$18/$E$18*$F$35/$E$35*100*$C$13/100,4)</f>
        <v>#DIV/0!</v>
      </c>
      <c r="L36" s="37" t="e">
        <f t="shared" ref="L36:L41" si="8">K36*10000</f>
        <v>#DIV/0!</v>
      </c>
      <c r="M36" s="12"/>
      <c r="O36" s="3"/>
    </row>
    <row r="37" spans="1:16">
      <c r="A37" s="51">
        <v>37</v>
      </c>
      <c r="B37" s="72">
        <v>3</v>
      </c>
      <c r="C37" s="33"/>
      <c r="D37" s="39"/>
      <c r="E37" s="35"/>
      <c r="F37" s="16"/>
      <c r="G37" s="40"/>
      <c r="H37" s="40"/>
      <c r="I37" s="36" t="e">
        <f t="shared" si="5"/>
        <v>#DIV/0!</v>
      </c>
      <c r="J37" s="36" t="e">
        <f t="shared" si="6"/>
        <v>#DIV/0!</v>
      </c>
      <c r="K37" s="37" t="e">
        <f t="shared" si="7"/>
        <v>#DIV/0!</v>
      </c>
      <c r="L37" s="37" t="e">
        <f t="shared" si="8"/>
        <v>#DIV/0!</v>
      </c>
      <c r="M37" s="12"/>
      <c r="O37" s="3"/>
    </row>
    <row r="38" spans="1:16">
      <c r="A38" s="51">
        <v>38</v>
      </c>
      <c r="B38" s="72">
        <v>4</v>
      </c>
      <c r="C38" s="33"/>
      <c r="D38" s="39"/>
      <c r="E38" s="35"/>
      <c r="F38" s="16"/>
      <c r="G38" s="40"/>
      <c r="H38" s="40"/>
      <c r="I38" s="36" t="e">
        <f t="shared" si="5"/>
        <v>#DIV/0!</v>
      </c>
      <c r="J38" s="36" t="e">
        <f t="shared" si="6"/>
        <v>#DIV/0!</v>
      </c>
      <c r="K38" s="37" t="e">
        <f t="shared" si="7"/>
        <v>#DIV/0!</v>
      </c>
      <c r="L38" s="37" t="e">
        <f t="shared" si="8"/>
        <v>#DIV/0!</v>
      </c>
      <c r="M38" s="12"/>
      <c r="O38" s="3"/>
    </row>
    <row r="39" spans="1:16">
      <c r="A39" s="51">
        <v>39</v>
      </c>
      <c r="B39" s="72">
        <v>5</v>
      </c>
      <c r="C39" s="33"/>
      <c r="D39" s="39"/>
      <c r="E39" s="35"/>
      <c r="F39" s="16"/>
      <c r="G39" s="40"/>
      <c r="H39" s="40"/>
      <c r="I39" s="36" t="e">
        <f t="shared" si="5"/>
        <v>#DIV/0!</v>
      </c>
      <c r="J39" s="36" t="e">
        <f t="shared" si="6"/>
        <v>#DIV/0!</v>
      </c>
      <c r="K39" s="37" t="e">
        <f t="shared" si="7"/>
        <v>#DIV/0!</v>
      </c>
      <c r="L39" s="37" t="e">
        <f t="shared" si="8"/>
        <v>#DIV/0!</v>
      </c>
      <c r="M39" s="12"/>
      <c r="O39" s="3"/>
    </row>
    <row r="40" spans="1:16">
      <c r="A40" s="51">
        <v>40</v>
      </c>
      <c r="B40" s="72">
        <v>6</v>
      </c>
      <c r="C40" s="33"/>
      <c r="D40" s="39"/>
      <c r="E40" s="35"/>
      <c r="F40" s="16"/>
      <c r="G40" s="40"/>
      <c r="H40" s="40"/>
      <c r="I40" s="36" t="e">
        <f t="shared" si="5"/>
        <v>#DIV/0!</v>
      </c>
      <c r="J40" s="36" t="e">
        <f t="shared" si="6"/>
        <v>#DIV/0!</v>
      </c>
      <c r="K40" s="37" t="e">
        <f t="shared" si="7"/>
        <v>#DIV/0!</v>
      </c>
      <c r="L40" s="37" t="e">
        <f t="shared" si="8"/>
        <v>#DIV/0!</v>
      </c>
      <c r="M40" s="12"/>
      <c r="O40" s="3"/>
    </row>
    <row r="41" spans="1:16">
      <c r="A41" s="51">
        <v>41</v>
      </c>
      <c r="B41" s="72">
        <v>7</v>
      </c>
      <c r="C41" s="33"/>
      <c r="D41" s="39"/>
      <c r="E41" s="35"/>
      <c r="F41" s="16"/>
      <c r="G41" s="20"/>
      <c r="H41" s="20"/>
      <c r="I41" s="36" t="e">
        <f t="shared" si="5"/>
        <v>#DIV/0!</v>
      </c>
      <c r="J41" s="36" t="e">
        <f t="shared" si="6"/>
        <v>#DIV/0!</v>
      </c>
      <c r="K41" s="37" t="e">
        <f t="shared" si="7"/>
        <v>#DIV/0!</v>
      </c>
      <c r="L41" s="37" t="e">
        <f t="shared" si="8"/>
        <v>#DIV/0!</v>
      </c>
      <c r="M41" s="12"/>
      <c r="O41" s="3"/>
    </row>
    <row r="42" spans="1:16" ht="18.5" thickBot="1">
      <c r="A42" s="51">
        <v>42</v>
      </c>
      <c r="B42" s="6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3"/>
    </row>
    <row r="43" spans="1:16" s="7" customFormat="1">
      <c r="A43" s="51">
        <v>43</v>
      </c>
      <c r="B43" s="73"/>
      <c r="C43" s="42"/>
      <c r="D43" s="43"/>
      <c r="E43" s="44"/>
      <c r="F43" s="44"/>
      <c r="G43" s="44"/>
      <c r="H43" s="42"/>
      <c r="I43" s="42"/>
      <c r="J43" s="42"/>
      <c r="K43" s="45"/>
      <c r="L43" s="41"/>
      <c r="M43" s="41"/>
      <c r="N43" s="41"/>
      <c r="O43" s="46"/>
      <c r="P43" s="6"/>
    </row>
    <row r="44" spans="1:16" s="7" customFormat="1">
      <c r="A44" s="51">
        <v>44</v>
      </c>
      <c r="B44" s="74"/>
      <c r="C44" s="75" t="s">
        <v>9</v>
      </c>
      <c r="D44" s="76"/>
      <c r="E44" s="77"/>
      <c r="F44" s="77"/>
      <c r="G44" s="77"/>
      <c r="H44" s="75"/>
      <c r="I44" s="75"/>
      <c r="J44" s="75"/>
      <c r="K44" s="78" t="s">
        <v>10</v>
      </c>
      <c r="L44" s="79"/>
      <c r="M44" s="79"/>
      <c r="N44" s="79"/>
      <c r="O44" s="47"/>
      <c r="P44" s="6"/>
    </row>
    <row r="45" spans="1:16" s="7" customFormat="1">
      <c r="A45" s="51">
        <v>45</v>
      </c>
      <c r="B45" s="74"/>
      <c r="C45" s="75" t="s">
        <v>11</v>
      </c>
      <c r="D45" s="79"/>
      <c r="E45" s="79"/>
      <c r="F45" s="79"/>
      <c r="G45" s="79"/>
      <c r="H45" s="80"/>
      <c r="I45" s="79"/>
      <c r="J45" s="79"/>
      <c r="K45" s="75" t="s">
        <v>12</v>
      </c>
      <c r="L45" s="79"/>
      <c r="M45" s="79"/>
      <c r="N45" s="79"/>
      <c r="O45" s="47"/>
      <c r="P45" s="6"/>
    </row>
    <row r="46" spans="1:16" s="7" customFormat="1" ht="18.5" thickBot="1">
      <c r="A46" s="52">
        <v>46</v>
      </c>
      <c r="B46" s="81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9"/>
      <c r="P46" s="6"/>
    </row>
    <row r="47" spans="1:16">
      <c r="P47" s="6"/>
    </row>
  </sheetData>
  <sheetProtection algorithmName="SHA-512" hashValue="XNmfyb4+zoXHMimwtH6kgpQcNMdvOHMQH8Zw9JFyC+HgIvRBgO6O3P2jILgvID6MhRF5X/FOXqmLteeAATWSVw==" saltValue="5U6nVfK8dlxmONTRlkQkRw==" spinCount="100000" sheet="1" objects="1" scenarios="1" formatCells="0" formatColumns="0" formatRows="0"/>
  <mergeCells count="20">
    <mergeCell ref="N20:N21"/>
    <mergeCell ref="B33:L33"/>
    <mergeCell ref="E20:F20"/>
    <mergeCell ref="G20:H20"/>
    <mergeCell ref="I20:J20"/>
    <mergeCell ref="K20:K21"/>
    <mergeCell ref="L20:L21"/>
    <mergeCell ref="M20:M21"/>
    <mergeCell ref="C9:D9"/>
    <mergeCell ref="C11:D11"/>
    <mergeCell ref="C12:D12"/>
    <mergeCell ref="C13:D13"/>
    <mergeCell ref="B20:B21"/>
    <mergeCell ref="C20:D20"/>
    <mergeCell ref="C8:D8"/>
    <mergeCell ref="B2:B3"/>
    <mergeCell ref="C2:O3"/>
    <mergeCell ref="B4:O4"/>
    <mergeCell ref="B5:O5"/>
    <mergeCell ref="C7:D7"/>
  </mergeCells>
  <printOptions horizontalCentered="1" verticalCentered="1"/>
  <pageMargins left="0.17" right="0.15748031496062992" top="0.35" bottom="0.35" header="0.15748031496062992" footer="0.15748031496062992"/>
  <pageSetup paperSize="9" scale="36" orientation="landscape" verticalDpi="300" r:id="rId1"/>
  <headerFooter>
    <oddHeader>&amp;L&amp;"Times New Roman,Regular"&amp;26&amp;Z&amp;F</oddHeader>
    <oddFooter>&amp;C&amp;"Times New Roman,Regular"&amp;26&amp;P&amp;R&amp;"Times New Roman,Regular"&amp;26&amp;T&amp;D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6B51-FFD9-4379-BC20-A9B6597C9B5A}">
  <sheetPr>
    <pageSetUpPr fitToPage="1"/>
  </sheetPr>
  <dimension ref="A1:P47"/>
  <sheetViews>
    <sheetView topLeftCell="B9" zoomScale="40" zoomScaleNormal="40" workbookViewId="0">
      <selection activeCell="J13" sqref="J13"/>
    </sheetView>
  </sheetViews>
  <sheetFormatPr defaultColWidth="28.453125" defaultRowHeight="18"/>
  <cols>
    <col min="1" max="1" width="5.453125" style="8" hidden="1" customWidth="1"/>
    <col min="2" max="2" width="23.453125" style="5" bestFit="1" customWidth="1"/>
    <col min="3" max="3" width="19.54296875" style="5" bestFit="1" customWidth="1"/>
    <col min="4" max="4" width="33" style="5" bestFit="1" customWidth="1"/>
    <col min="5" max="5" width="27.7265625" style="5" bestFit="1" customWidth="1"/>
    <col min="6" max="6" width="19.26953125" style="5" bestFit="1" customWidth="1"/>
    <col min="7" max="7" width="38.54296875" style="5" bestFit="1" customWidth="1"/>
    <col min="8" max="8" width="33.1796875" style="5" bestFit="1" customWidth="1"/>
    <col min="9" max="10" width="32.81640625" style="5" bestFit="1" customWidth="1"/>
    <col min="11" max="11" width="29.7265625" style="5" bestFit="1" customWidth="1"/>
    <col min="12" max="12" width="40.81640625" style="5" bestFit="1" customWidth="1"/>
    <col min="13" max="13" width="35" style="5" bestFit="1" customWidth="1"/>
    <col min="14" max="14" width="40.81640625" style="5" bestFit="1" customWidth="1"/>
    <col min="15" max="15" width="3.26953125" style="5" bestFit="1" customWidth="1"/>
    <col min="16" max="16384" width="28.453125" style="5"/>
  </cols>
  <sheetData>
    <row r="1" spans="1:15" s="4" customFormat="1" ht="18.5" hidden="1" thickBot="1">
      <c r="A1" s="2" t="s">
        <v>47</v>
      </c>
      <c r="B1" s="53" t="s">
        <v>61</v>
      </c>
      <c r="C1" s="53" t="s">
        <v>48</v>
      </c>
      <c r="D1" s="53" t="s">
        <v>49</v>
      </c>
      <c r="E1" s="53" t="s">
        <v>50</v>
      </c>
      <c r="F1" s="53" t="s">
        <v>51</v>
      </c>
      <c r="G1" s="53" t="s">
        <v>52</v>
      </c>
      <c r="H1" s="53" t="s">
        <v>53</v>
      </c>
      <c r="I1" s="53" t="s">
        <v>54</v>
      </c>
      <c r="J1" s="53" t="s">
        <v>55</v>
      </c>
      <c r="K1" s="53" t="s">
        <v>56</v>
      </c>
      <c r="L1" s="53" t="s">
        <v>57</v>
      </c>
      <c r="M1" s="53" t="s">
        <v>58</v>
      </c>
      <c r="N1" s="53" t="s">
        <v>59</v>
      </c>
      <c r="O1" s="1" t="s">
        <v>60</v>
      </c>
    </row>
    <row r="2" spans="1:15" ht="31.5" customHeight="1">
      <c r="A2" s="50">
        <v>2</v>
      </c>
      <c r="B2" s="95"/>
      <c r="C2" s="97" t="s">
        <v>62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</row>
    <row r="3" spans="1:15" ht="28.5" customHeight="1" thickBot="1">
      <c r="A3" s="51">
        <v>3</v>
      </c>
      <c r="B3" s="96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2"/>
    </row>
    <row r="4" spans="1:15" ht="18.5" thickBot="1">
      <c r="A4" s="51">
        <v>4</v>
      </c>
      <c r="B4" s="92" t="s">
        <v>28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4"/>
    </row>
    <row r="5" spans="1:15" ht="18.5" thickBot="1">
      <c r="A5" s="51">
        <v>5</v>
      </c>
      <c r="B5" s="103" t="s">
        <v>46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</row>
    <row r="6" spans="1:15">
      <c r="A6" s="51">
        <v>6</v>
      </c>
      <c r="B6" s="54"/>
      <c r="C6" s="55"/>
      <c r="D6" s="55"/>
      <c r="E6" s="56"/>
      <c r="F6" s="56"/>
      <c r="G6" s="56"/>
      <c r="H6" s="56"/>
      <c r="I6" s="57"/>
      <c r="J6" s="57"/>
      <c r="K6" s="55"/>
      <c r="L6" s="55"/>
      <c r="M6" s="55"/>
      <c r="N6" s="55"/>
      <c r="O6" s="3"/>
    </row>
    <row r="7" spans="1:15">
      <c r="A7" s="51">
        <v>7</v>
      </c>
      <c r="B7" s="58" t="s">
        <v>0</v>
      </c>
      <c r="C7" s="91" t="s">
        <v>94</v>
      </c>
      <c r="D7" s="91"/>
      <c r="E7" s="56"/>
      <c r="F7" s="59"/>
      <c r="G7" s="59"/>
      <c r="H7" s="59"/>
      <c r="I7" s="59"/>
      <c r="J7" s="57"/>
      <c r="K7" s="55"/>
      <c r="L7" s="55"/>
      <c r="M7" s="55"/>
      <c r="N7" s="55"/>
      <c r="O7" s="3"/>
    </row>
    <row r="8" spans="1:15">
      <c r="A8" s="51">
        <v>8</v>
      </c>
      <c r="B8" s="58" t="s">
        <v>1</v>
      </c>
      <c r="C8" s="91" t="s">
        <v>37</v>
      </c>
      <c r="D8" s="91"/>
      <c r="E8" s="56"/>
      <c r="J8" s="55"/>
      <c r="M8" s="9" t="s">
        <v>2</v>
      </c>
      <c r="N8" s="10">
        <v>46314</v>
      </c>
      <c r="O8" s="3"/>
    </row>
    <row r="9" spans="1:15">
      <c r="A9" s="51">
        <v>9</v>
      </c>
      <c r="B9" s="60" t="s">
        <v>14</v>
      </c>
      <c r="C9" s="108" t="s">
        <v>95</v>
      </c>
      <c r="D9" s="108"/>
      <c r="E9" s="57"/>
      <c r="F9" s="59"/>
      <c r="G9" s="59"/>
      <c r="H9" s="59"/>
      <c r="I9" s="59"/>
      <c r="J9" s="55"/>
      <c r="M9" s="11" t="s">
        <v>3</v>
      </c>
      <c r="N9" s="12" t="s">
        <v>96</v>
      </c>
      <c r="O9" s="3"/>
    </row>
    <row r="10" spans="1:15">
      <c r="A10" s="51">
        <v>10</v>
      </c>
      <c r="B10" s="61"/>
      <c r="C10" s="57"/>
      <c r="D10" s="57"/>
      <c r="E10" s="57"/>
      <c r="F10" s="59"/>
      <c r="G10" s="59"/>
      <c r="H10" s="59"/>
      <c r="I10" s="59"/>
      <c r="J10" s="55"/>
      <c r="M10" s="11" t="s">
        <v>13</v>
      </c>
      <c r="N10" s="13" t="s">
        <v>97</v>
      </c>
      <c r="O10" s="3"/>
    </row>
    <row r="11" spans="1:15">
      <c r="A11" s="51">
        <v>11</v>
      </c>
      <c r="B11" s="62" t="s">
        <v>15</v>
      </c>
      <c r="C11" s="106" t="s">
        <v>80</v>
      </c>
      <c r="D11" s="107"/>
      <c r="E11" s="55"/>
      <c r="F11" s="59"/>
      <c r="G11" s="59"/>
      <c r="H11" s="59"/>
      <c r="I11" s="59"/>
      <c r="J11" s="56"/>
      <c r="K11" s="55"/>
      <c r="L11" s="55"/>
      <c r="M11" s="55"/>
      <c r="N11" s="55"/>
      <c r="O11" s="3"/>
    </row>
    <row r="12" spans="1:15">
      <c r="A12" s="51">
        <v>12</v>
      </c>
      <c r="B12" s="62" t="s">
        <v>16</v>
      </c>
      <c r="C12" s="106" t="s">
        <v>81</v>
      </c>
      <c r="D12" s="107"/>
      <c r="E12" s="55"/>
      <c r="F12" s="59"/>
      <c r="G12" s="59"/>
      <c r="H12" s="59"/>
      <c r="I12" s="59"/>
      <c r="J12" s="57"/>
      <c r="K12" s="55"/>
      <c r="L12" s="55"/>
      <c r="M12" s="55"/>
      <c r="N12" s="55"/>
      <c r="O12" s="3"/>
    </row>
    <row r="13" spans="1:15">
      <c r="A13" s="51">
        <v>13</v>
      </c>
      <c r="B13" s="63" t="s">
        <v>17</v>
      </c>
      <c r="C13" s="109">
        <v>99.8</v>
      </c>
      <c r="D13" s="110"/>
      <c r="E13" s="55"/>
      <c r="F13" s="59"/>
      <c r="G13" s="59"/>
      <c r="H13" s="59"/>
      <c r="I13" s="59"/>
      <c r="J13" s="55"/>
      <c r="K13" s="55"/>
      <c r="L13" s="55"/>
      <c r="M13" s="55"/>
      <c r="N13" s="3"/>
      <c r="O13" s="3"/>
    </row>
    <row r="14" spans="1:15">
      <c r="A14" s="51">
        <v>14</v>
      </c>
      <c r="B14" s="64"/>
      <c r="C14" s="55"/>
      <c r="D14" s="55"/>
      <c r="E14" s="55"/>
      <c r="F14" s="55"/>
      <c r="G14" s="65"/>
      <c r="I14" s="55"/>
      <c r="J14" s="55"/>
      <c r="K14" s="59"/>
      <c r="L14" s="55"/>
      <c r="M14" s="66"/>
      <c r="N14" s="66"/>
      <c r="O14" s="3"/>
    </row>
    <row r="15" spans="1:15" ht="35">
      <c r="A15" s="51">
        <v>15</v>
      </c>
      <c r="B15" s="67" t="s">
        <v>24</v>
      </c>
      <c r="C15" s="14">
        <v>200</v>
      </c>
      <c r="D15" s="15" t="s">
        <v>26</v>
      </c>
      <c r="E15" s="16">
        <v>100</v>
      </c>
      <c r="F15" s="15" t="s">
        <v>65</v>
      </c>
      <c r="G15" s="65"/>
      <c r="H15" s="17" t="s">
        <v>31</v>
      </c>
      <c r="I15" s="17" t="s">
        <v>32</v>
      </c>
      <c r="J15" s="17" t="s">
        <v>33</v>
      </c>
      <c r="K15" s="57"/>
      <c r="L15" s="57"/>
      <c r="M15" s="66"/>
      <c r="N15" s="66"/>
      <c r="O15" s="3"/>
    </row>
    <row r="16" spans="1:15">
      <c r="A16" s="51">
        <v>16</v>
      </c>
      <c r="B16" s="67"/>
      <c r="C16" s="14">
        <v>1</v>
      </c>
      <c r="D16" s="15" t="s">
        <v>38</v>
      </c>
      <c r="E16" s="16">
        <v>1</v>
      </c>
      <c r="F16" s="15" t="s">
        <v>38</v>
      </c>
      <c r="G16" s="57"/>
      <c r="H16" s="17" t="s">
        <v>82</v>
      </c>
      <c r="I16" s="17">
        <v>0</v>
      </c>
      <c r="J16" s="17">
        <v>0</v>
      </c>
      <c r="K16" s="57"/>
      <c r="L16" s="57"/>
      <c r="M16" s="55"/>
      <c r="N16" s="55"/>
      <c r="O16" s="3"/>
    </row>
    <row r="17" spans="1:15">
      <c r="A17" s="51">
        <v>17</v>
      </c>
      <c r="B17" s="67" t="s">
        <v>38</v>
      </c>
      <c r="C17" s="14">
        <v>1</v>
      </c>
      <c r="D17" s="15" t="s">
        <v>38</v>
      </c>
      <c r="E17" s="16">
        <v>1</v>
      </c>
      <c r="F17" s="15" t="s">
        <v>38</v>
      </c>
      <c r="G17" s="55"/>
      <c r="H17" s="17" t="s">
        <v>71</v>
      </c>
      <c r="I17" s="17">
        <v>1</v>
      </c>
      <c r="J17" s="17">
        <v>1</v>
      </c>
      <c r="K17" s="57"/>
      <c r="L17" s="57"/>
      <c r="M17" s="55"/>
      <c r="N17" s="55"/>
      <c r="O17" s="3"/>
    </row>
    <row r="18" spans="1:15" ht="35">
      <c r="A18" s="51">
        <v>18</v>
      </c>
      <c r="B18" s="67" t="s">
        <v>25</v>
      </c>
      <c r="C18" s="14">
        <v>2</v>
      </c>
      <c r="D18" s="15" t="s">
        <v>27</v>
      </c>
      <c r="E18" s="16">
        <v>100</v>
      </c>
      <c r="F18" s="15" t="s">
        <v>65</v>
      </c>
      <c r="G18" s="55"/>
      <c r="H18" s="17" t="s">
        <v>84</v>
      </c>
      <c r="I18" s="9">
        <f>I16/I17</f>
        <v>0</v>
      </c>
      <c r="J18" s="9">
        <f>J16/J17</f>
        <v>0</v>
      </c>
      <c r="K18" s="55"/>
      <c r="L18" s="68"/>
      <c r="M18" s="55"/>
      <c r="N18" s="55"/>
      <c r="O18" s="3"/>
    </row>
    <row r="19" spans="1:15">
      <c r="A19" s="51">
        <v>19</v>
      </c>
      <c r="B19" s="6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3"/>
    </row>
    <row r="20" spans="1:15" ht="38.25" customHeight="1">
      <c r="A20" s="51">
        <v>20</v>
      </c>
      <c r="B20" s="87" t="s">
        <v>18</v>
      </c>
      <c r="C20" s="89" t="s">
        <v>80</v>
      </c>
      <c r="D20" s="90"/>
      <c r="E20" s="89" t="s">
        <v>83</v>
      </c>
      <c r="F20" s="90"/>
      <c r="G20" s="89" t="s">
        <v>75</v>
      </c>
      <c r="H20" s="90"/>
      <c r="I20" s="89" t="s">
        <v>74</v>
      </c>
      <c r="J20" s="90"/>
      <c r="K20" s="82" t="s">
        <v>84</v>
      </c>
      <c r="L20" s="82" t="s">
        <v>85</v>
      </c>
      <c r="M20" s="82" t="s">
        <v>86</v>
      </c>
      <c r="N20" s="82" t="s">
        <v>87</v>
      </c>
      <c r="O20" s="3"/>
    </row>
    <row r="21" spans="1:15" ht="38.25" customHeight="1">
      <c r="A21" s="51">
        <v>21</v>
      </c>
      <c r="B21" s="88"/>
      <c r="C21" s="18" t="s">
        <v>4</v>
      </c>
      <c r="D21" s="19" t="s">
        <v>5</v>
      </c>
      <c r="E21" s="18" t="s">
        <v>34</v>
      </c>
      <c r="F21" s="19" t="s">
        <v>35</v>
      </c>
      <c r="G21" s="18" t="s">
        <v>4</v>
      </c>
      <c r="H21" s="19" t="s">
        <v>5</v>
      </c>
      <c r="I21" s="18" t="s">
        <v>34</v>
      </c>
      <c r="J21" s="19" t="s">
        <v>35</v>
      </c>
      <c r="K21" s="83"/>
      <c r="L21" s="83"/>
      <c r="M21" s="83"/>
      <c r="N21" s="83"/>
      <c r="O21" s="3"/>
    </row>
    <row r="22" spans="1:15">
      <c r="A22" s="51">
        <v>22</v>
      </c>
      <c r="B22" s="69">
        <v>1</v>
      </c>
      <c r="C22" s="40">
        <v>17.329999999999998</v>
      </c>
      <c r="D22" s="40">
        <v>69.73</v>
      </c>
      <c r="E22" s="113">
        <v>17.309999999999999</v>
      </c>
      <c r="F22" s="40">
        <v>103.68</v>
      </c>
      <c r="G22" s="40">
        <v>9.84</v>
      </c>
      <c r="H22" s="40">
        <v>143.13</v>
      </c>
      <c r="I22" s="113">
        <v>9.82</v>
      </c>
      <c r="J22" s="40">
        <v>144.49</v>
      </c>
      <c r="K22" s="21">
        <f t="shared" ref="K22:K27" si="0">(D22/H22)</f>
        <v>0.48717948717948723</v>
      </c>
      <c r="L22" s="21">
        <f>K22-$I$18</f>
        <v>0.48717948717948723</v>
      </c>
      <c r="M22" s="22">
        <f t="shared" ref="M22:M27" si="1">IF(F22="","",(F22/J22))</f>
        <v>0.71755830853346247</v>
      </c>
      <c r="N22" s="22">
        <f>IF(M22="","",(M22-$I$18))</f>
        <v>0.71755830853346247</v>
      </c>
      <c r="O22" s="3"/>
    </row>
    <row r="23" spans="1:15">
      <c r="A23" s="51">
        <v>23</v>
      </c>
      <c r="B23" s="69">
        <v>2</v>
      </c>
      <c r="C23" s="40">
        <v>17.329999999999998</v>
      </c>
      <c r="D23" s="40">
        <v>98.86</v>
      </c>
      <c r="E23" s="40"/>
      <c r="F23" s="40"/>
      <c r="G23" s="40">
        <v>9.84</v>
      </c>
      <c r="H23" s="40">
        <v>183.93</v>
      </c>
      <c r="I23" s="40"/>
      <c r="J23" s="40"/>
      <c r="K23" s="21">
        <f t="shared" si="0"/>
        <v>0.53748708747893215</v>
      </c>
      <c r="L23" s="21">
        <f t="shared" ref="L23:L27" si="2">K23-$I$18</f>
        <v>0.53748708747893215</v>
      </c>
      <c r="M23" s="22" t="str">
        <f t="shared" si="1"/>
        <v/>
      </c>
      <c r="N23" s="22" t="str">
        <f>IF(M23="","",(M23-$I$18))</f>
        <v/>
      </c>
      <c r="O23" s="3"/>
    </row>
    <row r="24" spans="1:15">
      <c r="A24" s="51">
        <v>24</v>
      </c>
      <c r="B24" s="69">
        <v>3</v>
      </c>
      <c r="C24" s="40">
        <v>17.329999999999998</v>
      </c>
      <c r="D24" s="40">
        <v>75.39</v>
      </c>
      <c r="E24" s="40"/>
      <c r="F24" s="40"/>
      <c r="G24" s="40">
        <v>9.84</v>
      </c>
      <c r="H24" s="40">
        <v>143.66999999999999</v>
      </c>
      <c r="I24" s="114"/>
      <c r="J24" s="40"/>
      <c r="K24" s="21">
        <f t="shared" si="0"/>
        <v>0.52474420547087075</v>
      </c>
      <c r="L24" s="21">
        <f t="shared" si="2"/>
        <v>0.52474420547087075</v>
      </c>
      <c r="M24" s="22" t="str">
        <f t="shared" si="1"/>
        <v/>
      </c>
      <c r="N24" s="22" t="str">
        <f>IF(M24="","",(M24-$I$18))</f>
        <v/>
      </c>
      <c r="O24" s="3"/>
    </row>
    <row r="25" spans="1:15">
      <c r="A25" s="51">
        <v>25</v>
      </c>
      <c r="B25" s="69">
        <v>4</v>
      </c>
      <c r="C25" s="40">
        <v>17.32</v>
      </c>
      <c r="D25" s="40">
        <v>75.400000000000006</v>
      </c>
      <c r="E25" s="40"/>
      <c r="F25" s="40"/>
      <c r="G25" s="40">
        <v>9.84</v>
      </c>
      <c r="H25" s="40">
        <v>143.1</v>
      </c>
      <c r="I25" s="40"/>
      <c r="J25" s="40"/>
      <c r="K25" s="21">
        <f t="shared" si="0"/>
        <v>0.52690426275331936</v>
      </c>
      <c r="L25" s="21">
        <f t="shared" si="2"/>
        <v>0.52690426275331936</v>
      </c>
      <c r="M25" s="22" t="str">
        <f t="shared" si="1"/>
        <v/>
      </c>
      <c r="N25" s="22" t="str">
        <f>IF(M25="","",(M25-$I$18))</f>
        <v/>
      </c>
      <c r="O25" s="3"/>
    </row>
    <row r="26" spans="1:15">
      <c r="A26" s="51">
        <v>26</v>
      </c>
      <c r="B26" s="69">
        <v>5</v>
      </c>
      <c r="C26" s="40">
        <v>17.32</v>
      </c>
      <c r="D26" s="40">
        <v>78.569999999999993</v>
      </c>
      <c r="E26" s="40"/>
      <c r="F26" s="40"/>
      <c r="G26" s="40">
        <v>9.83</v>
      </c>
      <c r="H26" s="40">
        <v>145.97999999999999</v>
      </c>
      <c r="I26" s="40"/>
      <c r="J26" s="40"/>
      <c r="K26" s="21">
        <f t="shared" si="0"/>
        <v>0.53822441430332923</v>
      </c>
      <c r="L26" s="21">
        <f t="shared" si="2"/>
        <v>0.53822441430332923</v>
      </c>
      <c r="M26" s="22" t="str">
        <f t="shared" si="1"/>
        <v/>
      </c>
      <c r="N26" s="22" t="str">
        <f>IF(M26="","",(M26-$I$18))</f>
        <v/>
      </c>
      <c r="O26" s="3"/>
    </row>
    <row r="27" spans="1:15">
      <c r="A27" s="51">
        <v>27</v>
      </c>
      <c r="B27" s="69">
        <v>6</v>
      </c>
      <c r="C27" s="40">
        <v>17.32</v>
      </c>
      <c r="D27" s="40">
        <v>96.55</v>
      </c>
      <c r="E27" s="40"/>
      <c r="F27" s="40"/>
      <c r="G27" s="40">
        <v>9.82</v>
      </c>
      <c r="H27" s="40">
        <v>168.5</v>
      </c>
      <c r="I27" s="40"/>
      <c r="J27" s="40"/>
      <c r="K27" s="21">
        <f t="shared" si="0"/>
        <v>0.57299703264094959</v>
      </c>
      <c r="L27" s="21">
        <f t="shared" si="2"/>
        <v>0.57299703264094959</v>
      </c>
      <c r="M27" s="22" t="str">
        <f t="shared" si="1"/>
        <v/>
      </c>
      <c r="N27" s="22" t="str">
        <f t="shared" ref="N27" si="3">IF(M27="","",(M27-$I$18))</f>
        <v/>
      </c>
      <c r="O27" s="3"/>
    </row>
    <row r="28" spans="1:15">
      <c r="A28" s="51">
        <v>28</v>
      </c>
      <c r="B28" s="70" t="s">
        <v>6</v>
      </c>
      <c r="C28" s="111">
        <f>AVERAGE(C22:C27)</f>
        <v>17.324999999999999</v>
      </c>
      <c r="D28" s="111">
        <f>AVERAGE(D22:D27)</f>
        <v>82.416666666666671</v>
      </c>
      <c r="E28" s="111">
        <f>AVERAGE(C22:C27,E22:E27)</f>
        <v>17.322857142857142</v>
      </c>
      <c r="F28" s="112">
        <f>AVERAGE(D22:D27,F22:F27)</f>
        <v>85.454285714285717</v>
      </c>
      <c r="G28" s="111">
        <f>AVERAGE(G22:G27)</f>
        <v>9.8349999999999991</v>
      </c>
      <c r="H28" s="111">
        <f>AVERAGE(H22:H27)</f>
        <v>154.71833333333333</v>
      </c>
      <c r="I28" s="111">
        <f>AVERAGE(G22:G27,I22:I27)</f>
        <v>9.8328571428571419</v>
      </c>
      <c r="J28" s="111">
        <f>AVERAGE(H22:H27,J22:J27)</f>
        <v>153.2571428571429</v>
      </c>
      <c r="K28" s="23">
        <f>AVERAGE(K22:K27)</f>
        <v>0.53125608163781468</v>
      </c>
      <c r="L28" s="23">
        <f>AVERAGE(L22:L27)</f>
        <v>0.53125608163781468</v>
      </c>
      <c r="M28" s="23">
        <f>AVERAGE(K22:K27,M22:M27)</f>
        <v>0.55787068548005003</v>
      </c>
      <c r="N28" s="23">
        <f>AVERAGE(L22:L27,N22:N27)</f>
        <v>0.55787068548005003</v>
      </c>
      <c r="O28" s="3"/>
    </row>
    <row r="29" spans="1:15">
      <c r="A29" s="51">
        <v>29</v>
      </c>
      <c r="B29" s="70" t="s">
        <v>7</v>
      </c>
      <c r="C29" s="24">
        <f>STDEV(C22:C27)</f>
        <v>5.4772255750505719E-3</v>
      </c>
      <c r="D29" s="24">
        <f>STDEV(D22:D27)</f>
        <v>12.202379549361142</v>
      </c>
      <c r="E29" s="24">
        <f>STDEV(C22:C27,E22:E27)</f>
        <v>7.5592894601840483E-3</v>
      </c>
      <c r="F29" s="25">
        <f>STDEV(D22:D27,F22:F27)</f>
        <v>13.735779139583858</v>
      </c>
      <c r="G29" s="24">
        <f>STDEV(G22:G27)</f>
        <v>8.3666002653405777E-3</v>
      </c>
      <c r="H29" s="24">
        <f>STDEV(H22:H27)</f>
        <v>17.383642215216611</v>
      </c>
      <c r="I29" s="24">
        <f>STDEV(G22:G27,I22:I27)</f>
        <v>9.5118973121132155E-3</v>
      </c>
      <c r="J29" s="24">
        <f>STDEV(H22:H27,J22:J27)</f>
        <v>16.333137802522533</v>
      </c>
      <c r="K29" s="24">
        <f>STDEV(K22:K27)</f>
        <v>2.7690356163965646E-2</v>
      </c>
      <c r="L29" s="24">
        <f>STDEV(L22:L27)</f>
        <v>2.7690356163965646E-2</v>
      </c>
      <c r="M29" s="24">
        <f>STDEV(K22:K27,M22:M27)</f>
        <v>7.4815260146755422E-2</v>
      </c>
      <c r="N29" s="24">
        <f>STDEV(L22:L27,N22:N27)</f>
        <v>7.4815260146755422E-2</v>
      </c>
      <c r="O29" s="3"/>
    </row>
    <row r="30" spans="1:15">
      <c r="A30" s="51">
        <v>30</v>
      </c>
      <c r="B30" s="70" t="s">
        <v>8</v>
      </c>
      <c r="C30" s="26">
        <f t="shared" ref="C30:J30" si="4">ROUND(C29/C28*100,2)</f>
        <v>0.03</v>
      </c>
      <c r="D30" s="26">
        <f t="shared" si="4"/>
        <v>14.81</v>
      </c>
      <c r="E30" s="26">
        <f t="shared" si="4"/>
        <v>0.04</v>
      </c>
      <c r="F30" s="26">
        <f t="shared" si="4"/>
        <v>16.07</v>
      </c>
      <c r="G30" s="26">
        <f t="shared" si="4"/>
        <v>0.09</v>
      </c>
      <c r="H30" s="26">
        <f t="shared" si="4"/>
        <v>11.24</v>
      </c>
      <c r="I30" s="26">
        <f t="shared" si="4"/>
        <v>0.1</v>
      </c>
      <c r="J30" s="26">
        <f t="shared" si="4"/>
        <v>10.66</v>
      </c>
      <c r="K30" s="26">
        <f>ROUND(K29/K28*100,2)</f>
        <v>5.21</v>
      </c>
      <c r="L30" s="26">
        <f>ROUND(L29/L28*100,2)</f>
        <v>5.21</v>
      </c>
      <c r="M30" s="26">
        <f>ROUND(M29/M28*100,2)</f>
        <v>13.41</v>
      </c>
      <c r="N30" s="26">
        <f>ROUND(N29/N28*100,2)</f>
        <v>13.41</v>
      </c>
      <c r="O30" s="3"/>
    </row>
    <row r="31" spans="1:15">
      <c r="A31" s="51">
        <v>31</v>
      </c>
      <c r="B31" s="64"/>
      <c r="C31" s="55"/>
      <c r="D31" s="55"/>
      <c r="E31" s="55"/>
      <c r="F31" s="55"/>
      <c r="H31" s="55"/>
      <c r="K31" s="55"/>
      <c r="M31" s="55"/>
      <c r="N31" s="55"/>
      <c r="O31" s="3"/>
    </row>
    <row r="32" spans="1:15">
      <c r="A32" s="51">
        <v>32</v>
      </c>
      <c r="B32" s="6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3"/>
    </row>
    <row r="33" spans="1:16">
      <c r="A33" s="51">
        <v>33</v>
      </c>
      <c r="B33" s="84" t="s">
        <v>19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  <c r="O33" s="3"/>
    </row>
    <row r="34" spans="1:16">
      <c r="A34" s="51">
        <v>34</v>
      </c>
      <c r="B34" s="71" t="s">
        <v>20</v>
      </c>
      <c r="C34" s="27" t="s">
        <v>29</v>
      </c>
      <c r="D34" s="27" t="s">
        <v>21</v>
      </c>
      <c r="E34" s="28" t="s">
        <v>22</v>
      </c>
      <c r="F34" s="29" t="s">
        <v>23</v>
      </c>
      <c r="G34" s="30" t="s">
        <v>89</v>
      </c>
      <c r="H34" s="30" t="s">
        <v>76</v>
      </c>
      <c r="I34" s="30" t="s">
        <v>42</v>
      </c>
      <c r="J34" s="30" t="s">
        <v>43</v>
      </c>
      <c r="K34" s="31" t="s">
        <v>30</v>
      </c>
      <c r="L34" s="31" t="s">
        <v>36</v>
      </c>
      <c r="M34" s="32" t="s">
        <v>90</v>
      </c>
      <c r="O34" s="3"/>
    </row>
    <row r="35" spans="1:16">
      <c r="A35" s="51">
        <v>35</v>
      </c>
      <c r="B35" s="72">
        <v>1</v>
      </c>
      <c r="C35" s="33" t="s">
        <v>91</v>
      </c>
      <c r="D35" s="34" t="s">
        <v>92</v>
      </c>
      <c r="E35" s="14">
        <v>4019.1</v>
      </c>
      <c r="F35" s="16">
        <v>100</v>
      </c>
      <c r="G35" s="40">
        <v>0</v>
      </c>
      <c r="H35" s="40">
        <v>128.56</v>
      </c>
      <c r="I35" s="36">
        <f>((G35/H35))</f>
        <v>0</v>
      </c>
      <c r="J35" s="36">
        <f>((I35-$J$18))</f>
        <v>0</v>
      </c>
      <c r="K35" s="37">
        <f>ROUND(J35/$L$28*$C$15/$E$15*$C$16/$E$16*$C$17/$E$17*$C$18/$E$18*$F$35/$E$35*100*$C$13/100,4)</f>
        <v>0</v>
      </c>
      <c r="L35" s="37">
        <f>K35*10000</f>
        <v>0</v>
      </c>
      <c r="M35" s="38">
        <f>L35</f>
        <v>0</v>
      </c>
      <c r="O35" s="3"/>
    </row>
    <row r="36" spans="1:16">
      <c r="A36" s="51">
        <v>36</v>
      </c>
      <c r="B36" s="72"/>
      <c r="C36" s="33"/>
      <c r="D36" s="39"/>
      <c r="E36" s="35"/>
      <c r="F36" s="16"/>
      <c r="G36" s="40"/>
      <c r="H36" s="40"/>
      <c r="I36" s="36" t="e">
        <f t="shared" ref="I36:I41" si="5">((G36/H36))</f>
        <v>#DIV/0!</v>
      </c>
      <c r="J36" s="36" t="e">
        <f t="shared" ref="J36:J41" si="6">((I36-$J$18))</f>
        <v>#DIV/0!</v>
      </c>
      <c r="K36" s="37" t="e">
        <f t="shared" ref="K36:K41" si="7">ROUND(J36/$L$28*$C$15/$E$15*$C$16/$E$16*$C$17/$E$17*$C$18/$E$18*$F$35/$E$35*100*$C$13/100,4)</f>
        <v>#DIV/0!</v>
      </c>
      <c r="L36" s="37" t="e">
        <f t="shared" ref="L36:L41" si="8">K36*10000</f>
        <v>#DIV/0!</v>
      </c>
      <c r="M36" s="12"/>
      <c r="O36" s="3"/>
    </row>
    <row r="37" spans="1:16">
      <c r="A37" s="51">
        <v>37</v>
      </c>
      <c r="B37" s="72"/>
      <c r="C37" s="33"/>
      <c r="D37" s="39"/>
      <c r="E37" s="35"/>
      <c r="F37" s="16"/>
      <c r="G37" s="40"/>
      <c r="H37" s="40"/>
      <c r="I37" s="36" t="e">
        <f t="shared" si="5"/>
        <v>#DIV/0!</v>
      </c>
      <c r="J37" s="36" t="e">
        <f t="shared" si="6"/>
        <v>#DIV/0!</v>
      </c>
      <c r="K37" s="37" t="e">
        <f t="shared" si="7"/>
        <v>#DIV/0!</v>
      </c>
      <c r="L37" s="37" t="e">
        <f t="shared" si="8"/>
        <v>#DIV/0!</v>
      </c>
      <c r="M37" s="12"/>
      <c r="O37" s="3"/>
    </row>
    <row r="38" spans="1:16">
      <c r="A38" s="51">
        <v>38</v>
      </c>
      <c r="B38" s="72"/>
      <c r="C38" s="33"/>
      <c r="D38" s="39"/>
      <c r="E38" s="35"/>
      <c r="F38" s="16"/>
      <c r="G38" s="40"/>
      <c r="H38" s="40"/>
      <c r="I38" s="36" t="e">
        <f t="shared" si="5"/>
        <v>#DIV/0!</v>
      </c>
      <c r="J38" s="36" t="e">
        <f t="shared" si="6"/>
        <v>#DIV/0!</v>
      </c>
      <c r="K38" s="37" t="e">
        <f t="shared" si="7"/>
        <v>#DIV/0!</v>
      </c>
      <c r="L38" s="37" t="e">
        <f t="shared" si="8"/>
        <v>#DIV/0!</v>
      </c>
      <c r="M38" s="12"/>
      <c r="O38" s="3"/>
    </row>
    <row r="39" spans="1:16">
      <c r="A39" s="51">
        <v>39</v>
      </c>
      <c r="B39" s="72"/>
      <c r="C39" s="33"/>
      <c r="D39" s="39"/>
      <c r="E39" s="35"/>
      <c r="F39" s="16"/>
      <c r="G39" s="40"/>
      <c r="H39" s="40"/>
      <c r="I39" s="36" t="e">
        <f t="shared" si="5"/>
        <v>#DIV/0!</v>
      </c>
      <c r="J39" s="36" t="e">
        <f t="shared" si="6"/>
        <v>#DIV/0!</v>
      </c>
      <c r="K39" s="37" t="e">
        <f t="shared" si="7"/>
        <v>#DIV/0!</v>
      </c>
      <c r="L39" s="37" t="e">
        <f t="shared" si="8"/>
        <v>#DIV/0!</v>
      </c>
      <c r="M39" s="12"/>
      <c r="O39" s="3"/>
    </row>
    <row r="40" spans="1:16">
      <c r="A40" s="51">
        <v>40</v>
      </c>
      <c r="B40" s="72"/>
      <c r="C40" s="33"/>
      <c r="D40" s="39"/>
      <c r="E40" s="35"/>
      <c r="F40" s="16"/>
      <c r="G40" s="40"/>
      <c r="H40" s="40"/>
      <c r="I40" s="36" t="e">
        <f t="shared" si="5"/>
        <v>#DIV/0!</v>
      </c>
      <c r="J40" s="36" t="e">
        <f t="shared" si="6"/>
        <v>#DIV/0!</v>
      </c>
      <c r="K40" s="37" t="e">
        <f t="shared" si="7"/>
        <v>#DIV/0!</v>
      </c>
      <c r="L40" s="37" t="e">
        <f t="shared" si="8"/>
        <v>#DIV/0!</v>
      </c>
      <c r="M40" s="12"/>
      <c r="O40" s="3"/>
    </row>
    <row r="41" spans="1:16">
      <c r="A41" s="51">
        <v>41</v>
      </c>
      <c r="B41" s="72"/>
      <c r="C41" s="33"/>
      <c r="D41" s="39"/>
      <c r="E41" s="35"/>
      <c r="F41" s="16"/>
      <c r="G41" s="20"/>
      <c r="H41" s="20"/>
      <c r="I41" s="36" t="e">
        <f t="shared" si="5"/>
        <v>#DIV/0!</v>
      </c>
      <c r="J41" s="36" t="e">
        <f t="shared" si="6"/>
        <v>#DIV/0!</v>
      </c>
      <c r="K41" s="37" t="e">
        <f t="shared" si="7"/>
        <v>#DIV/0!</v>
      </c>
      <c r="L41" s="37" t="e">
        <f t="shared" si="8"/>
        <v>#DIV/0!</v>
      </c>
      <c r="M41" s="12"/>
      <c r="O41" s="3"/>
    </row>
    <row r="42" spans="1:16" ht="18.5" thickBot="1">
      <c r="A42" s="51">
        <v>42</v>
      </c>
      <c r="B42" s="6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3"/>
    </row>
    <row r="43" spans="1:16" s="7" customFormat="1">
      <c r="A43" s="51">
        <v>43</v>
      </c>
      <c r="B43" s="73"/>
      <c r="C43" s="42"/>
      <c r="D43" s="43"/>
      <c r="E43" s="44"/>
      <c r="F43" s="44"/>
      <c r="G43" s="44"/>
      <c r="H43" s="42"/>
      <c r="I43" s="42"/>
      <c r="J43" s="42"/>
      <c r="K43" s="45"/>
      <c r="L43" s="41"/>
      <c r="M43" s="41"/>
      <c r="N43" s="41"/>
      <c r="O43" s="46"/>
      <c r="P43" s="6"/>
    </row>
    <row r="44" spans="1:16" s="7" customFormat="1">
      <c r="A44" s="51">
        <v>44</v>
      </c>
      <c r="B44" s="74"/>
      <c r="C44" s="75" t="s">
        <v>9</v>
      </c>
      <c r="D44" s="76"/>
      <c r="E44" s="77"/>
      <c r="F44" s="77"/>
      <c r="G44" s="77"/>
      <c r="H44" s="75"/>
      <c r="I44" s="75"/>
      <c r="J44" s="75"/>
      <c r="K44" s="78" t="s">
        <v>10</v>
      </c>
      <c r="L44" s="79"/>
      <c r="M44" s="79"/>
      <c r="N44" s="79"/>
      <c r="O44" s="47"/>
      <c r="P44" s="6"/>
    </row>
    <row r="45" spans="1:16" s="7" customFormat="1">
      <c r="A45" s="51">
        <v>45</v>
      </c>
      <c r="B45" s="74"/>
      <c r="C45" s="75" t="s">
        <v>11</v>
      </c>
      <c r="D45" s="79"/>
      <c r="E45" s="79"/>
      <c r="F45" s="79"/>
      <c r="G45" s="79"/>
      <c r="H45" s="80"/>
      <c r="I45" s="79"/>
      <c r="J45" s="79"/>
      <c r="K45" s="75" t="s">
        <v>12</v>
      </c>
      <c r="L45" s="79"/>
      <c r="M45" s="79"/>
      <c r="N45" s="79"/>
      <c r="O45" s="47"/>
      <c r="P45" s="6"/>
    </row>
    <row r="46" spans="1:16" s="7" customFormat="1" ht="18.5" thickBot="1">
      <c r="A46" s="52">
        <v>46</v>
      </c>
      <c r="B46" s="81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9"/>
      <c r="P46" s="6"/>
    </row>
    <row r="47" spans="1:16">
      <c r="P47" s="6"/>
    </row>
  </sheetData>
  <sheetProtection algorithmName="SHA-512" hashValue="XNmfyb4+zoXHMimwtH6kgpQcNMdvOHMQH8Zw9JFyC+HgIvRBgO6O3P2jILgvID6MhRF5X/FOXqmLteeAATWSVw==" saltValue="5U6nVfK8dlxmONTRlkQkRw==" spinCount="100000" sheet="1" objects="1" scenarios="1" formatCells="0" formatColumns="0" formatRows="0"/>
  <mergeCells count="20">
    <mergeCell ref="N20:N21"/>
    <mergeCell ref="B33:L33"/>
    <mergeCell ref="E20:F20"/>
    <mergeCell ref="G20:H20"/>
    <mergeCell ref="I20:J20"/>
    <mergeCell ref="K20:K21"/>
    <mergeCell ref="L20:L21"/>
    <mergeCell ref="M20:M21"/>
    <mergeCell ref="C9:D9"/>
    <mergeCell ref="C11:D11"/>
    <mergeCell ref="C12:D12"/>
    <mergeCell ref="C13:D13"/>
    <mergeCell ref="B20:B21"/>
    <mergeCell ref="C20:D20"/>
    <mergeCell ref="C8:D8"/>
    <mergeCell ref="B2:B3"/>
    <mergeCell ref="C2:O3"/>
    <mergeCell ref="B4:O4"/>
    <mergeCell ref="B5:O5"/>
    <mergeCell ref="C7:D7"/>
  </mergeCells>
  <printOptions horizontalCentered="1" verticalCentered="1"/>
  <pageMargins left="0.17" right="0.15748031496062992" top="0.35" bottom="0.35" header="0.15748031496062992" footer="0.15748031496062992"/>
  <pageSetup paperSize="9" scale="33" orientation="landscape" verticalDpi="300" r:id="rId1"/>
  <headerFooter>
    <oddHeader>&amp;L&amp;"Times New Roman,Regular"&amp;26&amp;Z&amp;F</oddHeader>
    <oddFooter>&amp;C&amp;"Times New Roman,Regular"&amp;26&amp;P&amp;R&amp;"Times New Roman,Regular"&amp;26&amp;T&amp;D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</vt:lpstr>
      <vt:lpstr>DEG</vt:lpstr>
      <vt:lpstr>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Suraj Inje-&lt;QbD Research&gt;</cp:lastModifiedBy>
  <cp:revision>74</cp:revision>
  <cp:lastPrinted>2026-03-02T13:10:21Z</cp:lastPrinted>
  <dcterms:created xsi:type="dcterms:W3CDTF">2008-07-14T06:26:59Z</dcterms:created>
  <dcterms:modified xsi:type="dcterms:W3CDTF">2026-10-21T04:16:54Z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